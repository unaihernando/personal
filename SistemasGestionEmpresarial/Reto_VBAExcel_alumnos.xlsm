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N2DAM\Downloads\"/>
    </mc:Choice>
  </mc:AlternateContent>
  <bookViews>
    <workbookView minimized="1" xWindow="0" yWindow="0" windowWidth="19200" windowHeight="11490"/>
  </bookViews>
  <sheets>
    <sheet name="20_21_Plazas" sheetId="2" r:id="rId1"/>
  </sheets>
  <definedNames>
    <definedName name="_xlnm.Print_Area" localSheetId="0">'20_21_Plazas'!$A$1:$AO$125</definedName>
    <definedName name="asado">#REF!</definedName>
    <definedName name="Asador" localSheetId="0">'20_21_Plazas'!$AF$76:$AO$77</definedName>
    <definedName name="Asado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2" l="1"/>
  <c r="B10" i="2"/>
  <c r="B21" i="2" l="1"/>
  <c r="B23" i="2"/>
  <c r="G125" i="2" l="1"/>
  <c r="B125" i="2" s="1"/>
  <c r="F125" i="2"/>
  <c r="G124" i="2"/>
  <c r="B124" i="2" s="1"/>
  <c r="F124" i="2"/>
  <c r="B122" i="2"/>
  <c r="B121" i="2"/>
  <c r="B120" i="2"/>
  <c r="B119" i="2"/>
  <c r="B118" i="2"/>
  <c r="B117" i="2"/>
  <c r="B116" i="2"/>
  <c r="B115" i="2"/>
  <c r="B114" i="2"/>
  <c r="B113" i="2"/>
  <c r="B112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6" i="2"/>
  <c r="B95" i="2"/>
  <c r="B94" i="2"/>
  <c r="B93" i="2"/>
  <c r="B92" i="2"/>
  <c r="B91" i="2"/>
  <c r="B90" i="2"/>
  <c r="B89" i="2"/>
  <c r="B88" i="2"/>
  <c r="B87" i="2"/>
  <c r="B85" i="2"/>
  <c r="B84" i="2"/>
  <c r="B83" i="2"/>
  <c r="B82" i="2"/>
  <c r="B81" i="2"/>
  <c r="B80" i="2"/>
  <c r="B79" i="2"/>
  <c r="B78" i="2"/>
  <c r="B77" i="2"/>
  <c r="B76" i="2"/>
  <c r="B74" i="2"/>
  <c r="B73" i="2"/>
  <c r="B72" i="2"/>
  <c r="B71" i="2"/>
  <c r="B70" i="2"/>
  <c r="B69" i="2"/>
  <c r="B67" i="2"/>
  <c r="B66" i="2"/>
  <c r="B65" i="2"/>
  <c r="B64" i="2"/>
  <c r="B63" i="2"/>
  <c r="B62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5" i="2"/>
  <c r="B24" i="2"/>
  <c r="B22" i="2"/>
  <c r="B20" i="2"/>
  <c r="B19" i="2"/>
  <c r="B18" i="2"/>
  <c r="B17" i="2"/>
  <c r="B16" i="2"/>
  <c r="B14" i="2"/>
  <c r="B13" i="2"/>
  <c r="B12" i="2"/>
  <c r="B11" i="2"/>
  <c r="B9" i="2"/>
  <c r="B8" i="2"/>
  <c r="B7" i="2"/>
  <c r="B6" i="2"/>
  <c r="B5" i="2"/>
  <c r="B4" i="2"/>
</calcChain>
</file>

<file path=xl/sharedStrings.xml><?xml version="1.0" encoding="utf-8"?>
<sst xmlns="http://schemas.openxmlformats.org/spreadsheetml/2006/main" count="432" uniqueCount="163">
  <si>
    <t>CLASE</t>
  </si>
  <si>
    <t>HORAS/AÑO</t>
  </si>
  <si>
    <t>HORAS/SEMANA</t>
  </si>
  <si>
    <t>HORAS REALES</t>
  </si>
  <si>
    <t>PES01</t>
  </si>
  <si>
    <t>PES02</t>
  </si>
  <si>
    <t>PES03</t>
  </si>
  <si>
    <t>PES04</t>
  </si>
  <si>
    <t>PES05</t>
  </si>
  <si>
    <t>PES06</t>
  </si>
  <si>
    <t>PES07</t>
  </si>
  <si>
    <t>PES08</t>
  </si>
  <si>
    <t>PES09</t>
  </si>
  <si>
    <t>PES10</t>
  </si>
  <si>
    <t>PES11</t>
  </si>
  <si>
    <t>PES12</t>
  </si>
  <si>
    <t>PES13</t>
  </si>
  <si>
    <t>PES14</t>
  </si>
  <si>
    <t>PES15</t>
  </si>
  <si>
    <t>PES16</t>
  </si>
  <si>
    <t>PES17</t>
  </si>
  <si>
    <t>PES18</t>
  </si>
  <si>
    <t>PES19</t>
  </si>
  <si>
    <t>PES20</t>
  </si>
  <si>
    <t>PES21</t>
  </si>
  <si>
    <t>PES22</t>
  </si>
  <si>
    <t>PES23</t>
  </si>
  <si>
    <t>PT01</t>
  </si>
  <si>
    <t>PT02</t>
  </si>
  <si>
    <t>PT03</t>
  </si>
  <si>
    <t>PT04</t>
  </si>
  <si>
    <t>PT05</t>
  </si>
  <si>
    <t>PT06</t>
  </si>
  <si>
    <t>PT07</t>
  </si>
  <si>
    <t>PT08</t>
  </si>
  <si>
    <t>PT09</t>
  </si>
  <si>
    <t>PT10</t>
  </si>
  <si>
    <t>PT11</t>
  </si>
  <si>
    <t>1AsirTri</t>
  </si>
  <si>
    <t>3</t>
  </si>
  <si>
    <t>AR2-Planificación y administración de redes.</t>
  </si>
  <si>
    <t>SA</t>
  </si>
  <si>
    <t>5B</t>
  </si>
  <si>
    <t>AR2-Network planning and administration.</t>
  </si>
  <si>
    <t>SI</t>
  </si>
  <si>
    <t>6</t>
  </si>
  <si>
    <t>AR2-Sareak Planifikatzea eta Administratzea</t>
  </si>
  <si>
    <t>SD</t>
  </si>
  <si>
    <t>AR4-Gestión de bases de datos.</t>
  </si>
  <si>
    <t>AR4-Datu base kudeaketa</t>
  </si>
  <si>
    <t>AR5-Lenguajes de marcas y SGI.</t>
  </si>
  <si>
    <t>AR5-Marka lenguaiak eta IKS.</t>
  </si>
  <si>
    <t>2AsirTri</t>
  </si>
  <si>
    <t>12</t>
  </si>
  <si>
    <t>AR7-Servicios de red e Internet.</t>
  </si>
  <si>
    <t>AR8-Implantación de aplicaciones web.</t>
  </si>
  <si>
    <t>AR8-Web aplikazioak ezartzea</t>
  </si>
  <si>
    <t>AR9-Administración de SGBD.</t>
  </si>
  <si>
    <t>AR10-Seguridad y alta disponibilidad.</t>
  </si>
  <si>
    <t>AR10-Security and high availability</t>
  </si>
  <si>
    <t>AsirTri</t>
  </si>
  <si>
    <t>Proyecto</t>
  </si>
  <si>
    <t>FCT</t>
  </si>
  <si>
    <t>TD</t>
  </si>
  <si>
    <t>AR1-Implantación de sistemas operativos.</t>
  </si>
  <si>
    <t>TA</t>
  </si>
  <si>
    <t>AR3-Hardware oinarriak</t>
  </si>
  <si>
    <t>AR3-Fundamentos de hardware.</t>
  </si>
  <si>
    <t>AR6-Administración de sistemas operativos.</t>
  </si>
  <si>
    <t>106</t>
  </si>
  <si>
    <t>AR6-Sistema eragileen administratzea</t>
  </si>
  <si>
    <t>1AsirTarde</t>
  </si>
  <si>
    <t>AR2a-Planificación y administración de redes.</t>
  </si>
  <si>
    <t>AR4a-Gestión de bases de datos.</t>
  </si>
  <si>
    <t>AR5a-Lenguajes de marcas y SGI.</t>
  </si>
  <si>
    <t>AR1a-Implantación de sistemas operativos.</t>
  </si>
  <si>
    <t>AR3a-Fundamentos de hardware.</t>
  </si>
  <si>
    <t>2AsirTarde</t>
  </si>
  <si>
    <t>AsirTarde</t>
  </si>
  <si>
    <t>1DamB+</t>
  </si>
  <si>
    <t>14</t>
  </si>
  <si>
    <t>DM2-Bases de Datos.</t>
  </si>
  <si>
    <t>10</t>
  </si>
  <si>
    <t>DM3-Programazioa</t>
  </si>
  <si>
    <t>DM3-Programación.</t>
  </si>
  <si>
    <t>DM4-Lenguajes de marcas y SGI.</t>
  </si>
  <si>
    <t>DM4-Marka lenguaiak eta IKS.</t>
  </si>
  <si>
    <t>DM5-Entornos de desarrollo.</t>
  </si>
  <si>
    <t>DM5-Garapen-inguruneak</t>
  </si>
  <si>
    <t>2DamB+</t>
  </si>
  <si>
    <t>13</t>
  </si>
  <si>
    <t>DM6-Acceso a datos.</t>
  </si>
  <si>
    <t>DM6-Datu-atzipena.</t>
  </si>
  <si>
    <t>DM8-Programación mult y disp móviles</t>
  </si>
  <si>
    <t>DM9-Programación de servicios y procesos</t>
  </si>
  <si>
    <t>DamB+</t>
  </si>
  <si>
    <t>DM1-Sistemas informáticos.</t>
  </si>
  <si>
    <t>DM7-Desarrollo de interfaces.</t>
  </si>
  <si>
    <t>DM7-Interfazeen garapena</t>
  </si>
  <si>
    <t>DM10-Sistemas de gestión empresarial.</t>
  </si>
  <si>
    <t>DM10-Enpresa-kudeaketako sistemak</t>
  </si>
  <si>
    <t>1DamTarde</t>
  </si>
  <si>
    <t>Pab4-101</t>
  </si>
  <si>
    <t>2DamTarde</t>
  </si>
  <si>
    <t>X</t>
  </si>
  <si>
    <t>DamTarde</t>
  </si>
  <si>
    <t>1GM_A</t>
  </si>
  <si>
    <t>SM5-Redes locales</t>
  </si>
  <si>
    <t>SM6-Seguridad informática</t>
  </si>
  <si>
    <t>2GM_A</t>
  </si>
  <si>
    <t>SM7-Servicios en red</t>
  </si>
  <si>
    <t>SM8-Aplicaciones web</t>
  </si>
  <si>
    <t>GM_A</t>
  </si>
  <si>
    <t>107</t>
  </si>
  <si>
    <t>SM1-Montaje y mantenimiento de equipos</t>
  </si>
  <si>
    <t>SM2-Sistemas operativos monopuesto</t>
  </si>
  <si>
    <t>SM3-Aplicaciones ofimáticas</t>
  </si>
  <si>
    <t>07</t>
  </si>
  <si>
    <t>SM4-Sistemas operativos en red</t>
  </si>
  <si>
    <t>1GM_D</t>
  </si>
  <si>
    <t>SM5-Sare lokalak</t>
  </si>
  <si>
    <t>SM6-Informatika-segurtasuna</t>
  </si>
  <si>
    <t>2GM_D</t>
  </si>
  <si>
    <t>SM7-Sare zerbitzuak</t>
  </si>
  <si>
    <t>SM8-Web aplikazioak</t>
  </si>
  <si>
    <t>GM_D</t>
  </si>
  <si>
    <t>SM1-Tresneria muntatzea eta mantetzea</t>
  </si>
  <si>
    <t>SM2-Postu bakarreko sistema eragileak</t>
  </si>
  <si>
    <t>15</t>
  </si>
  <si>
    <t>SM3-Bulegotika-aplikazioak</t>
  </si>
  <si>
    <t>SM4-Sareko sistema eragileak</t>
  </si>
  <si>
    <t>1DawTarde</t>
  </si>
  <si>
    <t>DW2-Bases de Datos.</t>
  </si>
  <si>
    <t>DW3-Programación.</t>
  </si>
  <si>
    <t>DW4-Lenguajes de marcas y SGI.</t>
  </si>
  <si>
    <t>DW5-Entornos de desarrollo.</t>
  </si>
  <si>
    <t>2DawTarde</t>
  </si>
  <si>
    <t>DW7-Desarrollo web en entorno servidor.</t>
  </si>
  <si>
    <t>DW8-Despliegue de aplicaciones</t>
  </si>
  <si>
    <t>DawTarde</t>
  </si>
  <si>
    <t>DW1-Sistemas informáticos.</t>
  </si>
  <si>
    <t>DW6-Desarrollo web en entorno cliente.</t>
  </si>
  <si>
    <t>DW9-Diseño de interfaces web.</t>
  </si>
  <si>
    <t>CREDITOS</t>
  </si>
  <si>
    <t>Creditos</t>
  </si>
  <si>
    <t>1SMR A Montaje</t>
  </si>
  <si>
    <t>1SMR D Montaje</t>
  </si>
  <si>
    <t>2SMR A Servicios en red de 2º</t>
  </si>
  <si>
    <t>2SMR D Redes de 1º</t>
  </si>
  <si>
    <t>1DAM TARDE _22 alumnos Programacion</t>
  </si>
  <si>
    <t>2DAM TARDE_&lt;20 alumnos</t>
  </si>
  <si>
    <t>1ASIR TARDE_&gt;20 alumnos  redes</t>
  </si>
  <si>
    <t>1ASIR TARDE_&gt;20 alumnos hardware</t>
  </si>
  <si>
    <t>2ASIR TARDE-&lt;20 alumnos</t>
  </si>
  <si>
    <t>1DAW TARDE_22 alumnos programacion</t>
  </si>
  <si>
    <t>2DAW TARDE_25 alumnos programacion</t>
  </si>
  <si>
    <t>ESPECIALIZACION CIBERSEGURIDAD</t>
  </si>
  <si>
    <t>Program</t>
  </si>
  <si>
    <t>PROGRAMACION</t>
  </si>
  <si>
    <t>Redes</t>
  </si>
  <si>
    <t>REDES</t>
  </si>
  <si>
    <t>MODULO COGIDO</t>
  </si>
  <si>
    <t>GRUPO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</si>
</sst>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rgb="FF000000"/>
      <name val="Arial1"/>
      <charset val="1"/>
    </font>
    <font>
      <b/>
      <sz val="26"/>
      <color rgb="FF000000"/>
      <name val="Arial1"/>
      <charset val="1"/>
    </font>
    <font>
      <b/>
      <sz val="12"/>
      <color rgb="FF000000"/>
      <name val="Arial1"/>
      <charset val="1"/>
    </font>
    <font>
      <b/>
      <sz val="20"/>
      <color rgb="FF000000"/>
      <name val="Arial1"/>
      <charset val="1"/>
    </font>
    <font>
      <b/>
      <sz val="10"/>
      <color rgb="FF000000"/>
      <name val="Arial1"/>
      <charset val="1"/>
    </font>
    <font>
      <sz val="10"/>
      <color rgb="FF0000FF"/>
      <name val="Arial1"/>
      <charset val="1"/>
    </font>
    <font>
      <sz val="10"/>
      <color rgb="FF008000"/>
      <name val="Arial1"/>
      <charset val="1"/>
    </font>
    <font>
      <sz val="10"/>
      <color rgb="FF993300"/>
      <name val="Arial1"/>
      <charset val="1"/>
    </font>
    <font>
      <sz val="11"/>
      <color rgb="FF000000"/>
      <name val="Calibri"/>
      <family val="2"/>
      <charset val="1"/>
    </font>
    <font>
      <b/>
      <sz val="10"/>
      <color rgb="FF0000FF"/>
      <name val="Arial1"/>
      <charset val="1"/>
    </font>
    <font>
      <b/>
      <sz val="8"/>
      <color rgb="FF0000FF"/>
      <name val="Arial1"/>
      <charset val="1"/>
    </font>
    <font>
      <b/>
      <sz val="12"/>
      <color rgb="FFFFFFFF"/>
      <name val="Arial1"/>
      <charset val="1"/>
    </font>
    <font>
      <b/>
      <sz val="10"/>
      <color rgb="FFFFFFFF"/>
      <name val="Arial1"/>
      <charset val="1"/>
    </font>
    <font>
      <b/>
      <sz val="10"/>
      <color rgb="FFFF0000"/>
      <name val="Arial1"/>
      <charset val="1"/>
    </font>
    <font>
      <sz val="10"/>
      <color rgb="FFFF0000"/>
      <name val="Arial1"/>
      <charset val="1"/>
    </font>
    <font>
      <b/>
      <sz val="10"/>
      <color rgb="FF008000"/>
      <name val="Arial1"/>
      <charset val="1"/>
    </font>
    <font>
      <b/>
      <sz val="11"/>
      <color rgb="FF000000"/>
      <name val="Arial1"/>
      <charset val="1"/>
    </font>
    <font>
      <sz val="10"/>
      <color rgb="FF000000"/>
      <name val="Arial1"/>
      <charset val="1"/>
    </font>
    <font>
      <b/>
      <sz val="10"/>
      <color rgb="FF993300"/>
      <name val="Arial1"/>
      <charset val="1"/>
    </font>
    <font>
      <b/>
      <sz val="10"/>
      <color rgb="FF77933C"/>
      <name val="Arial1"/>
      <charset val="1"/>
    </font>
    <font>
      <sz val="10"/>
      <color rgb="FF77933C"/>
      <name val="Arial1"/>
      <charset val="1"/>
    </font>
    <font>
      <b/>
      <sz val="20"/>
      <color rgb="FF993300"/>
      <name val="Arial1"/>
      <charset val="1"/>
    </font>
    <font>
      <b/>
      <sz val="9"/>
      <color rgb="FF0000FF"/>
      <name val="Arial1"/>
      <charset val="1"/>
    </font>
    <font>
      <sz val="9"/>
      <color rgb="FF993300"/>
      <name val="Arial1"/>
      <charset val="1"/>
    </font>
    <font>
      <sz val="9"/>
      <color rgb="FF008000"/>
      <name val="Arial1"/>
      <charset val="1"/>
    </font>
    <font>
      <sz val="9"/>
      <color rgb="FF000000"/>
      <name val="Arial1"/>
      <charset val="1"/>
    </font>
    <font>
      <b/>
      <sz val="16"/>
      <color rgb="FF993300"/>
      <name val="Arial1"/>
      <charset val="1"/>
    </font>
    <font>
      <sz val="10"/>
      <name val="Arial1"/>
      <charset val="1"/>
    </font>
    <font>
      <strike/>
      <sz val="10"/>
      <color rgb="FFFF0000"/>
      <name val="Arial1"/>
      <charset val="1"/>
    </font>
    <font>
      <b/>
      <sz val="11"/>
      <color rgb="FFFFFFFF"/>
      <name val="Arial1"/>
      <charset val="1"/>
    </font>
    <font>
      <b/>
      <u/>
      <sz val="10"/>
      <color rgb="FF008000"/>
      <name val="Arial1"/>
      <charset val="1"/>
    </font>
    <font>
      <b/>
      <u/>
      <sz val="26"/>
      <color rgb="FF000000"/>
      <name val="Arial1"/>
      <charset val="1"/>
    </font>
    <font>
      <b/>
      <u/>
      <sz val="10"/>
      <color rgb="FF0000FF"/>
      <name val="Arial1"/>
      <charset val="1"/>
    </font>
  </fonts>
  <fills count="12">
    <fill>
      <patternFill patternType="none"/>
    </fill>
    <fill>
      <patternFill patternType="gray125"/>
    </fill>
    <fill>
      <patternFill patternType="solid">
        <fgColor rgb="FFAEA79F"/>
        <bgColor rgb="FFA6A6A6"/>
      </patternFill>
    </fill>
    <fill>
      <patternFill patternType="solid">
        <fgColor rgb="FFFFFFFF"/>
        <bgColor rgb="FFFDEADA"/>
      </patternFill>
    </fill>
    <fill>
      <patternFill patternType="solid">
        <fgColor rgb="FFCCFFFF"/>
        <bgColor rgb="FFFFFFFF"/>
      </patternFill>
    </fill>
    <fill>
      <patternFill patternType="solid">
        <fgColor rgb="FF000000"/>
        <bgColor rgb="FF1A1A1A"/>
      </patternFill>
    </fill>
    <fill>
      <patternFill patternType="solid">
        <fgColor rgb="FFFFCC99"/>
        <bgColor rgb="FFFCD5B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rgb="FF0000FF"/>
      </patternFill>
    </fill>
    <fill>
      <patternFill patternType="solid">
        <fgColor rgb="FFFFFF99"/>
        <bgColor rgb="FFFDEADA"/>
      </patternFill>
    </fill>
    <fill>
      <patternFill patternType="solid">
        <fgColor theme="0"/>
        <bgColor rgb="FFFFFFFF"/>
      </patternFill>
    </fill>
    <fill>
      <patternFill patternType="solid">
        <fgColor rgb="FFFFC000"/>
        <bgColor rgb="FFFFFFFF"/>
      </patternFill>
    </fill>
  </fills>
  <borders count="20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rgb="FF1A1A1A"/>
      </left>
      <right style="hair">
        <color rgb="FF1A1A1A"/>
      </right>
      <top style="hair">
        <color rgb="FF1A1A1A"/>
      </top>
      <bottom style="hair">
        <color rgb="FF1A1A1A"/>
      </bottom>
      <diagonal/>
    </border>
    <border>
      <left style="hair">
        <color rgb="FF1A1A1A"/>
      </left>
      <right/>
      <top style="hair">
        <color rgb="FF1A1A1A"/>
      </top>
      <bottom style="hair">
        <color rgb="FF1A1A1A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rgb="FF1A1A1A"/>
      </left>
      <right style="hair">
        <color rgb="FF1A1A1A"/>
      </right>
      <top style="hair">
        <color rgb="FF1A1A1A"/>
      </top>
      <bottom/>
      <diagonal/>
    </border>
    <border>
      <left/>
      <right style="hair">
        <color rgb="FF1A1A1A"/>
      </right>
      <top style="hair">
        <color rgb="FF1A1A1A"/>
      </top>
      <bottom style="hair">
        <color rgb="FF1A1A1A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212">
    <xf numFmtId="0" fontId="0" fillId="0" borderId="0" xfId="0"/>
    <xf numFmtId="0" fontId="2" fillId="2" borderId="0" xfId="1" applyFont="1" applyFill="1" applyAlignment="1">
      <alignment horizontal="center" vertical="center"/>
    </xf>
    <xf numFmtId="0" fontId="1" fillId="0" borderId="0" xfId="1"/>
    <xf numFmtId="0" fontId="3" fillId="0" borderId="0" xfId="1" applyFont="1" applyAlignment="1">
      <alignment horizontal="center" vertical="center" textRotation="90" wrapText="1"/>
    </xf>
    <xf numFmtId="0" fontId="4" fillId="3" borderId="0" xfId="1" applyFont="1" applyFill="1" applyAlignment="1">
      <alignment horizontal="center" textRotation="90" wrapText="1"/>
    </xf>
    <xf numFmtId="0" fontId="5" fillId="0" borderId="1" xfId="1" applyFont="1" applyBorder="1" applyAlignment="1">
      <alignment horizontal="center" textRotation="90"/>
    </xf>
    <xf numFmtId="0" fontId="6" fillId="4" borderId="1" xfId="1" applyFont="1" applyFill="1" applyBorder="1" applyAlignment="1">
      <alignment horizontal="center" textRotation="90" wrapText="1"/>
    </xf>
    <xf numFmtId="0" fontId="8" fillId="6" borderId="1" xfId="1" applyFont="1" applyFill="1" applyBorder="1" applyAlignment="1">
      <alignment horizontal="center" textRotation="90" wrapText="1"/>
    </xf>
    <xf numFmtId="0" fontId="3" fillId="7" borderId="0" xfId="1" applyFont="1" applyFill="1" applyAlignment="1">
      <alignment horizontal="center" vertical="center" wrapText="1"/>
    </xf>
    <xf numFmtId="0" fontId="9" fillId="0" borderId="0" xfId="2"/>
    <xf numFmtId="0" fontId="1" fillId="0" borderId="3" xfId="1" applyBorder="1"/>
    <xf numFmtId="0" fontId="12" fillId="8" borderId="4" xfId="1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 shrinkToFit="1"/>
    </xf>
    <xf numFmtId="0" fontId="13" fillId="8" borderId="4" xfId="1" applyFont="1" applyFill="1" applyBorder="1" applyAlignment="1">
      <alignment horizontal="center" vertical="center"/>
    </xf>
    <xf numFmtId="49" fontId="10" fillId="4" borderId="7" xfId="1" applyNumberFormat="1" applyFont="1" applyFill="1" applyBorder="1" applyAlignment="1">
      <alignment horizontal="center"/>
    </xf>
    <xf numFmtId="0" fontId="10" fillId="4" borderId="7" xfId="1" applyFont="1" applyFill="1" applyBorder="1"/>
    <xf numFmtId="0" fontId="10" fillId="4" borderId="3" xfId="1" applyFont="1" applyFill="1" applyBorder="1"/>
    <xf numFmtId="0" fontId="6" fillId="4" borderId="3" xfId="1" applyFont="1" applyFill="1" applyBorder="1"/>
    <xf numFmtId="1" fontId="6" fillId="0" borderId="3" xfId="1" applyNumberFormat="1" applyFont="1" applyBorder="1" applyAlignment="1">
      <alignment horizontal="center"/>
    </xf>
    <xf numFmtId="1" fontId="6" fillId="0" borderId="4" xfId="1" applyNumberFormat="1" applyFont="1" applyBorder="1" applyAlignment="1">
      <alignment horizontal="center"/>
    </xf>
    <xf numFmtId="2" fontId="6" fillId="0" borderId="3" xfId="1" applyNumberFormat="1" applyFont="1" applyBorder="1" applyAlignment="1">
      <alignment horizontal="center"/>
    </xf>
    <xf numFmtId="0" fontId="14" fillId="4" borderId="7" xfId="1" applyFont="1" applyFill="1" applyBorder="1"/>
    <xf numFmtId="0" fontId="14" fillId="4" borderId="3" xfId="1" applyFont="1" applyFill="1" applyBorder="1"/>
    <xf numFmtId="0" fontId="15" fillId="4" borderId="3" xfId="1" applyFont="1" applyFill="1" applyBorder="1"/>
    <xf numFmtId="1" fontId="15" fillId="0" borderId="3" xfId="1" applyNumberFormat="1" applyFont="1" applyBorder="1" applyAlignment="1">
      <alignment horizontal="center"/>
    </xf>
    <xf numFmtId="0" fontId="16" fillId="4" borderId="7" xfId="1" applyFont="1" applyFill="1" applyBorder="1"/>
    <xf numFmtId="0" fontId="16" fillId="4" borderId="0" xfId="1" applyFont="1" applyFill="1" applyBorder="1"/>
    <xf numFmtId="1" fontId="6" fillId="0" borderId="0" xfId="1" applyNumberFormat="1" applyFont="1" applyBorder="1" applyAlignment="1">
      <alignment horizontal="center"/>
    </xf>
    <xf numFmtId="0" fontId="16" fillId="4" borderId="3" xfId="1" applyFont="1" applyFill="1" applyBorder="1"/>
    <xf numFmtId="0" fontId="7" fillId="4" borderId="3" xfId="1" applyFont="1" applyFill="1" applyBorder="1"/>
    <xf numFmtId="1" fontId="7" fillId="0" borderId="3" xfId="1" applyNumberFormat="1" applyFont="1" applyBorder="1" applyAlignment="1">
      <alignment horizontal="center"/>
    </xf>
    <xf numFmtId="1" fontId="7" fillId="0" borderId="4" xfId="1" applyNumberFormat="1" applyFont="1" applyBorder="1" applyAlignment="1">
      <alignment horizontal="center"/>
    </xf>
    <xf numFmtId="1" fontId="7" fillId="0" borderId="0" xfId="1" applyNumberFormat="1" applyFont="1" applyBorder="1" applyAlignment="1">
      <alignment horizontal="center"/>
    </xf>
    <xf numFmtId="0" fontId="10" fillId="4" borderId="7" xfId="1" applyFont="1" applyFill="1" applyBorder="1" applyAlignment="1">
      <alignment wrapText="1"/>
    </xf>
    <xf numFmtId="2" fontId="10" fillId="4" borderId="3" xfId="1" applyNumberFormat="1" applyFont="1" applyFill="1" applyBorder="1"/>
    <xf numFmtId="2" fontId="6" fillId="0" borderId="4" xfId="1" applyNumberFormat="1" applyFont="1" applyBorder="1" applyAlignment="1">
      <alignment horizontal="center"/>
    </xf>
    <xf numFmtId="0" fontId="10" fillId="4" borderId="7" xfId="1" applyFont="1" applyFill="1" applyBorder="1" applyAlignment="1">
      <alignment horizontal="left"/>
    </xf>
    <xf numFmtId="2" fontId="6" fillId="0" borderId="0" xfId="1" applyNumberFormat="1" applyFont="1" applyBorder="1" applyAlignment="1">
      <alignment horizontal="center"/>
    </xf>
    <xf numFmtId="0" fontId="14" fillId="4" borderId="7" xfId="1" applyFont="1" applyFill="1" applyBorder="1" applyAlignment="1">
      <alignment wrapText="1"/>
    </xf>
    <xf numFmtId="2" fontId="14" fillId="4" borderId="3" xfId="1" applyNumberFormat="1" applyFont="1" applyFill="1" applyBorder="1"/>
    <xf numFmtId="0" fontId="5" fillId="9" borderId="7" xfId="1" applyFont="1" applyFill="1" applyBorder="1" applyAlignment="1">
      <alignment wrapText="1"/>
    </xf>
    <xf numFmtId="0" fontId="5" fillId="9" borderId="3" xfId="1" applyFont="1" applyFill="1" applyBorder="1"/>
    <xf numFmtId="2" fontId="5" fillId="9" borderId="3" xfId="1" applyNumberFormat="1" applyFont="1" applyFill="1" applyBorder="1"/>
    <xf numFmtId="2" fontId="6" fillId="9" borderId="3" xfId="1" applyNumberFormat="1" applyFont="1" applyFill="1" applyBorder="1" applyAlignment="1">
      <alignment horizontal="center"/>
    </xf>
    <xf numFmtId="2" fontId="6" fillId="9" borderId="4" xfId="1" applyNumberFormat="1" applyFont="1" applyFill="1" applyBorder="1" applyAlignment="1">
      <alignment horizontal="center"/>
    </xf>
    <xf numFmtId="2" fontId="6" fillId="9" borderId="0" xfId="1" applyNumberFormat="1" applyFont="1" applyFill="1" applyBorder="1" applyAlignment="1">
      <alignment horizontal="center"/>
    </xf>
    <xf numFmtId="164" fontId="18" fillId="9" borderId="3" xfId="1" applyNumberFormat="1" applyFont="1" applyFill="1" applyBorder="1" applyAlignment="1">
      <alignment horizontal="center"/>
    </xf>
    <xf numFmtId="2" fontId="8" fillId="9" borderId="3" xfId="1" applyNumberFormat="1" applyFont="1" applyFill="1" applyBorder="1" applyAlignment="1">
      <alignment horizontal="center"/>
    </xf>
    <xf numFmtId="164" fontId="18" fillId="9" borderId="4" xfId="1" applyNumberFormat="1" applyFont="1" applyFill="1" applyBorder="1" applyAlignment="1">
      <alignment horizontal="center"/>
    </xf>
    <xf numFmtId="164" fontId="6" fillId="9" borderId="3" xfId="1" applyNumberFormat="1" applyFont="1" applyFill="1" applyBorder="1" applyAlignment="1">
      <alignment horizontal="center"/>
    </xf>
    <xf numFmtId="0" fontId="18" fillId="9" borderId="3" xfId="1" applyFont="1" applyFill="1" applyBorder="1"/>
    <xf numFmtId="1" fontId="6" fillId="9" borderId="3" xfId="1" applyNumberFormat="1" applyFont="1" applyFill="1" applyBorder="1" applyAlignment="1">
      <alignment horizontal="center"/>
    </xf>
    <xf numFmtId="1" fontId="6" fillId="9" borderId="4" xfId="1" applyNumberFormat="1" applyFont="1" applyFill="1" applyBorder="1" applyAlignment="1">
      <alignment horizontal="center"/>
    </xf>
    <xf numFmtId="1" fontId="8" fillId="9" borderId="3" xfId="1" applyNumberFormat="1" applyFont="1" applyFill="1" applyBorder="1" applyAlignment="1">
      <alignment horizontal="center"/>
    </xf>
    <xf numFmtId="1" fontId="7" fillId="9" borderId="3" xfId="1" applyNumberFormat="1" applyFont="1" applyFill="1" applyBorder="1" applyAlignment="1">
      <alignment horizontal="center"/>
    </xf>
    <xf numFmtId="1" fontId="8" fillId="9" borderId="4" xfId="1" applyNumberFormat="1" applyFont="1" applyFill="1" applyBorder="1" applyAlignment="1">
      <alignment horizontal="center"/>
    </xf>
    <xf numFmtId="0" fontId="19" fillId="6" borderId="7" xfId="1" applyFont="1" applyFill="1" applyBorder="1"/>
    <xf numFmtId="0" fontId="19" fillId="6" borderId="3" xfId="1" applyFont="1" applyFill="1" applyBorder="1"/>
    <xf numFmtId="0" fontId="8" fillId="6" borderId="3" xfId="1" applyFont="1" applyFill="1" applyBorder="1"/>
    <xf numFmtId="1" fontId="8" fillId="0" borderId="3" xfId="1" applyNumberFormat="1" applyFont="1" applyBorder="1" applyAlignment="1">
      <alignment horizontal="center"/>
    </xf>
    <xf numFmtId="1" fontId="8" fillId="0" borderId="4" xfId="1" applyNumberFormat="1" applyFont="1" applyBorder="1" applyAlignment="1">
      <alignment horizontal="center"/>
    </xf>
    <xf numFmtId="0" fontId="20" fillId="6" borderId="7" xfId="1" applyFont="1" applyFill="1" applyBorder="1"/>
    <xf numFmtId="0" fontId="20" fillId="6" borderId="3" xfId="1" applyFont="1" applyFill="1" applyBorder="1"/>
    <xf numFmtId="0" fontId="21" fillId="6" borderId="3" xfId="1" applyFont="1" applyFill="1" applyBorder="1"/>
    <xf numFmtId="2" fontId="19" fillId="6" borderId="3" xfId="1" applyNumberFormat="1" applyFont="1" applyFill="1" applyBorder="1"/>
    <xf numFmtId="2" fontId="8" fillId="0" borderId="3" xfId="1" applyNumberFormat="1" applyFont="1" applyBorder="1" applyAlignment="1">
      <alignment horizontal="center"/>
    </xf>
    <xf numFmtId="2" fontId="8" fillId="0" borderId="4" xfId="1" applyNumberFormat="1" applyFont="1" applyBorder="1" applyAlignment="1">
      <alignment horizontal="center"/>
    </xf>
    <xf numFmtId="0" fontId="16" fillId="6" borderId="7" xfId="1" applyFont="1" applyFill="1" applyBorder="1"/>
    <xf numFmtId="0" fontId="16" fillId="6" borderId="3" xfId="1" applyFont="1" applyFill="1" applyBorder="1"/>
    <xf numFmtId="0" fontId="7" fillId="6" borderId="3" xfId="1" applyFont="1" applyFill="1" applyBorder="1"/>
    <xf numFmtId="2" fontId="16" fillId="6" borderId="3" xfId="1" applyNumberFormat="1" applyFont="1" applyFill="1" applyBorder="1"/>
    <xf numFmtId="2" fontId="7" fillId="0" borderId="4" xfId="1" applyNumberFormat="1" applyFont="1" applyBorder="1" applyAlignment="1">
      <alignment horizontal="center"/>
    </xf>
    <xf numFmtId="2" fontId="7" fillId="0" borderId="3" xfId="1" applyNumberFormat="1" applyFont="1" applyBorder="1" applyAlignment="1">
      <alignment horizontal="center"/>
    </xf>
    <xf numFmtId="0" fontId="22" fillId="5" borderId="8" xfId="1" applyFont="1" applyFill="1" applyBorder="1" applyAlignment="1">
      <alignment horizontal="center" vertical="center"/>
    </xf>
    <xf numFmtId="0" fontId="13" fillId="5" borderId="4" xfId="1" applyFont="1" applyFill="1" applyBorder="1" applyAlignment="1">
      <alignment horizontal="center" vertical="center"/>
    </xf>
    <xf numFmtId="49" fontId="10" fillId="5" borderId="7" xfId="1" applyNumberFormat="1" applyFont="1" applyFill="1" applyBorder="1" applyAlignment="1">
      <alignment horizontal="center"/>
    </xf>
    <xf numFmtId="0" fontId="16" fillId="5" borderId="7" xfId="1" applyFont="1" applyFill="1" applyBorder="1"/>
    <xf numFmtId="0" fontId="16" fillId="5" borderId="3" xfId="1" applyFont="1" applyFill="1" applyBorder="1"/>
    <xf numFmtId="0" fontId="7" fillId="5" borderId="3" xfId="1" applyFont="1" applyFill="1" applyBorder="1"/>
    <xf numFmtId="2" fontId="16" fillId="5" borderId="3" xfId="1" applyNumberFormat="1" applyFont="1" applyFill="1" applyBorder="1"/>
    <xf numFmtId="164" fontId="18" fillId="5" borderId="3" xfId="1" applyNumberFormat="1" applyFont="1" applyFill="1" applyBorder="1" applyAlignment="1">
      <alignment horizontal="center"/>
    </xf>
    <xf numFmtId="164" fontId="18" fillId="5" borderId="4" xfId="1" applyNumberFormat="1" applyFont="1" applyFill="1" applyBorder="1" applyAlignment="1">
      <alignment horizontal="center"/>
    </xf>
    <xf numFmtId="2" fontId="8" fillId="5" borderId="3" xfId="1" applyNumberFormat="1" applyFont="1" applyFill="1" applyBorder="1" applyAlignment="1">
      <alignment horizontal="center"/>
    </xf>
    <xf numFmtId="2" fontId="7" fillId="5" borderId="4" xfId="1" applyNumberFormat="1" applyFont="1" applyFill="1" applyBorder="1" applyAlignment="1">
      <alignment horizontal="center"/>
    </xf>
    <xf numFmtId="2" fontId="7" fillId="5" borderId="3" xfId="1" applyNumberFormat="1" applyFont="1" applyFill="1" applyBorder="1" applyAlignment="1">
      <alignment horizontal="center"/>
    </xf>
    <xf numFmtId="2" fontId="7" fillId="5" borderId="0" xfId="1" applyNumberFormat="1" applyFont="1" applyFill="1" applyBorder="1" applyAlignment="1">
      <alignment horizontal="center"/>
    </xf>
    <xf numFmtId="0" fontId="23" fillId="0" borderId="6" xfId="1" applyFont="1" applyBorder="1" applyAlignment="1">
      <alignment horizontal="center" vertical="center" shrinkToFit="1"/>
    </xf>
    <xf numFmtId="0" fontId="10" fillId="4" borderId="9" xfId="1" applyFont="1" applyFill="1" applyBorder="1" applyAlignment="1">
      <alignment wrapText="1"/>
    </xf>
    <xf numFmtId="0" fontId="10" fillId="4" borderId="2" xfId="1" applyFont="1" applyFill="1" applyBorder="1"/>
    <xf numFmtId="0" fontId="6" fillId="4" borderId="2" xfId="1" applyFont="1" applyFill="1" applyBorder="1"/>
    <xf numFmtId="2" fontId="10" fillId="4" borderId="2" xfId="1" applyNumberFormat="1" applyFont="1" applyFill="1" applyBorder="1"/>
    <xf numFmtId="2" fontId="10" fillId="4" borderId="0" xfId="1" applyNumberFormat="1" applyFont="1" applyFill="1" applyBorder="1"/>
    <xf numFmtId="0" fontId="10" fillId="4" borderId="9" xfId="1" applyFont="1" applyFill="1" applyBorder="1" applyAlignment="1">
      <alignment horizontal="left"/>
    </xf>
    <xf numFmtId="0" fontId="5" fillId="9" borderId="9" xfId="1" applyFont="1" applyFill="1" applyBorder="1" applyAlignment="1">
      <alignment wrapText="1"/>
    </xf>
    <xf numFmtId="0" fontId="5" fillId="9" borderId="2" xfId="1" applyFont="1" applyFill="1" applyBorder="1"/>
    <xf numFmtId="2" fontId="5" fillId="9" borderId="10" xfId="1" applyNumberFormat="1" applyFont="1" applyFill="1" applyBorder="1"/>
    <xf numFmtId="2" fontId="5" fillId="9" borderId="0" xfId="1" applyNumberFormat="1" applyFont="1" applyFill="1" applyBorder="1"/>
    <xf numFmtId="2" fontId="5" fillId="9" borderId="2" xfId="1" applyNumberFormat="1" applyFont="1" applyFill="1" applyBorder="1"/>
    <xf numFmtId="0" fontId="18" fillId="9" borderId="2" xfId="1" applyFont="1" applyFill="1" applyBorder="1"/>
    <xf numFmtId="0" fontId="18" fillId="9" borderId="11" xfId="1" applyFont="1" applyFill="1" applyBorder="1"/>
    <xf numFmtId="0" fontId="5" fillId="9" borderId="0" xfId="1" applyFont="1" applyFill="1" applyBorder="1"/>
    <xf numFmtId="2" fontId="8" fillId="9" borderId="4" xfId="1" applyNumberFormat="1" applyFont="1" applyFill="1" applyBorder="1" applyAlignment="1">
      <alignment horizontal="center"/>
    </xf>
    <xf numFmtId="0" fontId="19" fillId="6" borderId="9" xfId="1" applyFont="1" applyFill="1" applyBorder="1"/>
    <xf numFmtId="0" fontId="19" fillId="6" borderId="2" xfId="1" applyFont="1" applyFill="1" applyBorder="1"/>
    <xf numFmtId="0" fontId="8" fillId="6" borderId="2" xfId="1" applyFont="1" applyFill="1" applyBorder="1"/>
    <xf numFmtId="2" fontId="19" fillId="6" borderId="12" xfId="1" applyNumberFormat="1" applyFont="1" applyFill="1" applyBorder="1"/>
    <xf numFmtId="2" fontId="19" fillId="6" borderId="0" xfId="1" applyNumberFormat="1" applyFont="1" applyFill="1" applyBorder="1"/>
    <xf numFmtId="164" fontId="18" fillId="5" borderId="0" xfId="1" applyNumberFormat="1" applyFont="1" applyFill="1" applyBorder="1" applyAlignment="1">
      <alignment horizontal="center"/>
    </xf>
    <xf numFmtId="0" fontId="6" fillId="0" borderId="3" xfId="1" applyFont="1" applyBorder="1" applyAlignment="1">
      <alignment horizontal="center"/>
    </xf>
    <xf numFmtId="0" fontId="6" fillId="0" borderId="0" xfId="1" applyFont="1" applyBorder="1" applyAlignment="1">
      <alignment horizontal="center"/>
    </xf>
    <xf numFmtId="0" fontId="20" fillId="4" borderId="7" xfId="1" applyFont="1" applyFill="1" applyBorder="1"/>
    <xf numFmtId="0" fontId="20" fillId="4" borderId="3" xfId="1" applyFont="1" applyFill="1" applyBorder="1"/>
    <xf numFmtId="0" fontId="21" fillId="4" borderId="3" xfId="1" applyFont="1" applyFill="1" applyBorder="1"/>
    <xf numFmtId="0" fontId="7" fillId="0" borderId="3" xfId="1" applyFont="1" applyBorder="1" applyAlignment="1">
      <alignment horizontal="center"/>
    </xf>
    <xf numFmtId="0" fontId="7" fillId="0" borderId="4" xfId="1" applyFont="1" applyBorder="1" applyAlignment="1">
      <alignment horizontal="center"/>
    </xf>
    <xf numFmtId="0" fontId="6" fillId="0" borderId="4" xfId="1" applyFont="1" applyBorder="1" applyAlignment="1">
      <alignment horizontal="center"/>
    </xf>
    <xf numFmtId="0" fontId="1" fillId="0" borderId="0" xfId="1" applyAlignment="1">
      <alignment horizontal="center"/>
    </xf>
    <xf numFmtId="0" fontId="20" fillId="4" borderId="7" xfId="1" applyFont="1" applyFill="1" applyBorder="1" applyAlignment="1">
      <alignment wrapText="1"/>
    </xf>
    <xf numFmtId="0" fontId="7" fillId="0" borderId="0" xfId="1" applyFont="1" applyBorder="1" applyAlignment="1">
      <alignment horizontal="center"/>
    </xf>
    <xf numFmtId="0" fontId="10" fillId="4" borderId="7" xfId="1" applyFont="1" applyFill="1" applyBorder="1" applyAlignment="1">
      <alignment horizontal="left" wrapText="1"/>
    </xf>
    <xf numFmtId="0" fontId="10" fillId="4" borderId="7" xfId="1" applyFont="1" applyFill="1" applyBorder="1" applyAlignment="1">
      <alignment horizontal="center"/>
    </xf>
    <xf numFmtId="0" fontId="10" fillId="4" borderId="7" xfId="1" applyFont="1" applyFill="1" applyBorder="1" applyAlignment="1"/>
    <xf numFmtId="2" fontId="18" fillId="9" borderId="3" xfId="1" applyNumberFormat="1" applyFont="1" applyFill="1" applyBorder="1" applyAlignment="1">
      <alignment horizontal="center"/>
    </xf>
    <xf numFmtId="164" fontId="8" fillId="9" borderId="4" xfId="1" applyNumberFormat="1" applyFont="1" applyFill="1" applyBorder="1" applyAlignment="1">
      <alignment horizontal="center"/>
    </xf>
    <xf numFmtId="0" fontId="19" fillId="6" borderId="7" xfId="1" applyFont="1" applyFill="1" applyBorder="1" applyAlignment="1">
      <alignment wrapText="1"/>
    </xf>
    <xf numFmtId="164" fontId="8" fillId="0" borderId="3" xfId="1" applyNumberFormat="1" applyFont="1" applyBorder="1" applyAlignment="1">
      <alignment horizontal="center"/>
    </xf>
    <xf numFmtId="0" fontId="19" fillId="6" borderId="7" xfId="1" applyFont="1" applyFill="1" applyBorder="1" applyAlignment="1"/>
    <xf numFmtId="0" fontId="22" fillId="5" borderId="4" xfId="1" applyFont="1" applyFill="1" applyBorder="1" applyAlignment="1">
      <alignment horizontal="center" vertical="center"/>
    </xf>
    <xf numFmtId="0" fontId="18" fillId="5" borderId="3" xfId="1" applyFont="1" applyFill="1" applyBorder="1" applyAlignment="1">
      <alignment horizontal="center"/>
    </xf>
    <xf numFmtId="0" fontId="18" fillId="5" borderId="4" xfId="1" applyFont="1" applyFill="1" applyBorder="1" applyAlignment="1">
      <alignment horizontal="center"/>
    </xf>
    <xf numFmtId="0" fontId="18" fillId="5" borderId="0" xfId="1" applyFont="1" applyFill="1" applyBorder="1" applyAlignment="1">
      <alignment horizontal="center"/>
    </xf>
    <xf numFmtId="0" fontId="1" fillId="5" borderId="4" xfId="1" applyFill="1" applyBorder="1"/>
    <xf numFmtId="2" fontId="8" fillId="5" borderId="0" xfId="1" applyNumberFormat="1" applyFont="1" applyFill="1" applyBorder="1" applyAlignment="1">
      <alignment horizontal="center"/>
    </xf>
    <xf numFmtId="0" fontId="1" fillId="0" borderId="13" xfId="1" applyBorder="1"/>
    <xf numFmtId="0" fontId="1" fillId="0" borderId="4" xfId="1" applyBorder="1"/>
    <xf numFmtId="0" fontId="10" fillId="4" borderId="9" xfId="1" applyFont="1" applyFill="1" applyBorder="1" applyAlignment="1">
      <alignment horizontal="left" wrapText="1"/>
    </xf>
    <xf numFmtId="0" fontId="10" fillId="4" borderId="9" xfId="1" applyFont="1" applyFill="1" applyBorder="1" applyAlignment="1"/>
    <xf numFmtId="0" fontId="19" fillId="6" borderId="9" xfId="1" applyFont="1" applyFill="1" applyBorder="1" applyAlignment="1">
      <alignment wrapText="1"/>
    </xf>
    <xf numFmtId="2" fontId="19" fillId="6" borderId="2" xfId="1" applyNumberFormat="1" applyFont="1" applyFill="1" applyBorder="1"/>
    <xf numFmtId="2" fontId="24" fillId="0" borderId="3" xfId="1" applyNumberFormat="1" applyFont="1" applyBorder="1" applyAlignment="1">
      <alignment horizontal="center"/>
    </xf>
    <xf numFmtId="2" fontId="25" fillId="0" borderId="3" xfId="1" applyNumberFormat="1" applyFont="1" applyBorder="1" applyAlignment="1">
      <alignment horizontal="center"/>
    </xf>
    <xf numFmtId="2" fontId="26" fillId="0" borderId="4" xfId="1" applyNumberFormat="1" applyFont="1" applyBorder="1"/>
    <xf numFmtId="0" fontId="19" fillId="6" borderId="9" xfId="1" applyFont="1" applyFill="1" applyBorder="1" applyAlignment="1"/>
    <xf numFmtId="0" fontId="23" fillId="10" borderId="8" xfId="1" applyFont="1" applyFill="1" applyBorder="1" applyAlignment="1">
      <alignment horizontal="center" vertical="center"/>
    </xf>
    <xf numFmtId="164" fontId="6" fillId="0" borderId="3" xfId="1" applyNumberFormat="1" applyFont="1" applyBorder="1" applyAlignment="1">
      <alignment horizontal="center"/>
    </xf>
    <xf numFmtId="164" fontId="6" fillId="0" borderId="4" xfId="1" applyNumberFormat="1" applyFont="1" applyBorder="1" applyAlignment="1">
      <alignment horizontal="center"/>
    </xf>
    <xf numFmtId="0" fontId="5" fillId="9" borderId="7" xfId="1" applyFont="1" applyFill="1" applyBorder="1"/>
    <xf numFmtId="1" fontId="6" fillId="9" borderId="0" xfId="1" applyNumberFormat="1" applyFont="1" applyFill="1" applyBorder="1" applyAlignment="1">
      <alignment horizontal="center"/>
    </xf>
    <xf numFmtId="0" fontId="27" fillId="5" borderId="4" xfId="1" applyFont="1" applyFill="1" applyBorder="1" applyAlignment="1">
      <alignment horizontal="center" vertical="center"/>
    </xf>
    <xf numFmtId="49" fontId="10" fillId="5" borderId="0" xfId="1" applyNumberFormat="1" applyFont="1" applyFill="1" applyBorder="1" applyAlignment="1">
      <alignment horizontal="center"/>
    </xf>
    <xf numFmtId="0" fontId="19" fillId="5" borderId="0" xfId="1" applyFont="1" applyFill="1" applyBorder="1"/>
    <xf numFmtId="0" fontId="19" fillId="5" borderId="4" xfId="1" applyFont="1" applyFill="1" applyBorder="1"/>
    <xf numFmtId="0" fontId="8" fillId="5" borderId="4" xfId="1" applyFont="1" applyFill="1" applyBorder="1"/>
    <xf numFmtId="2" fontId="19" fillId="5" borderId="3" xfId="1" applyNumberFormat="1" applyFont="1" applyFill="1" applyBorder="1"/>
    <xf numFmtId="2" fontId="19" fillId="5" borderId="4" xfId="1" applyNumberFormat="1" applyFont="1" applyFill="1" applyBorder="1"/>
    <xf numFmtId="2" fontId="8" fillId="5" borderId="4" xfId="1" applyNumberFormat="1" applyFont="1" applyFill="1" applyBorder="1" applyAlignment="1">
      <alignment horizontal="center"/>
    </xf>
    <xf numFmtId="0" fontId="10" fillId="4" borderId="4" xfId="1" applyFont="1" applyFill="1" applyBorder="1"/>
    <xf numFmtId="0" fontId="10" fillId="4" borderId="9" xfId="1" applyFont="1" applyFill="1" applyBorder="1"/>
    <xf numFmtId="0" fontId="5" fillId="9" borderId="9" xfId="1" applyFont="1" applyFill="1" applyBorder="1"/>
    <xf numFmtId="0" fontId="19" fillId="6" borderId="15" xfId="1" applyFont="1" applyFill="1" applyBorder="1"/>
    <xf numFmtId="0" fontId="19" fillId="6" borderId="4" xfId="1" applyFont="1" applyFill="1" applyBorder="1"/>
    <xf numFmtId="49" fontId="10" fillId="4" borderId="2" xfId="1" applyNumberFormat="1" applyFont="1" applyFill="1" applyBorder="1" applyAlignment="1">
      <alignment horizontal="center"/>
    </xf>
    <xf numFmtId="0" fontId="12" fillId="8" borderId="3" xfId="1" applyFont="1" applyFill="1" applyBorder="1" applyAlignment="1">
      <alignment horizontal="left" vertical="center"/>
    </xf>
    <xf numFmtId="0" fontId="10" fillId="4" borderId="3" xfId="1" applyFont="1" applyFill="1" applyBorder="1" applyAlignment="1">
      <alignment wrapText="1"/>
    </xf>
    <xf numFmtId="0" fontId="10" fillId="4" borderId="16" xfId="1" applyFont="1" applyFill="1" applyBorder="1"/>
    <xf numFmtId="0" fontId="18" fillId="0" borderId="17" xfId="1" applyFont="1" applyBorder="1" applyAlignment="1">
      <alignment horizontal="center"/>
    </xf>
    <xf numFmtId="0" fontId="10" fillId="4" borderId="5" xfId="1" applyFont="1" applyFill="1" applyBorder="1" applyAlignment="1"/>
    <xf numFmtId="0" fontId="10" fillId="4" borderId="5" xfId="1" applyFont="1" applyFill="1" applyBorder="1" applyAlignment="1">
      <alignment horizontal="left" wrapText="1"/>
    </xf>
    <xf numFmtId="0" fontId="5" fillId="9" borderId="0" xfId="1" applyFont="1" applyFill="1" applyBorder="1" applyAlignment="1">
      <alignment wrapText="1"/>
    </xf>
    <xf numFmtId="0" fontId="19" fillId="6" borderId="3" xfId="1" applyFont="1" applyFill="1" applyBorder="1" applyAlignment="1">
      <alignment wrapText="1"/>
    </xf>
    <xf numFmtId="1" fontId="8" fillId="0" borderId="0" xfId="1" applyNumberFormat="1" applyFont="1" applyBorder="1" applyAlignment="1">
      <alignment horizontal="center"/>
    </xf>
    <xf numFmtId="2" fontId="8" fillId="0" borderId="0" xfId="1" applyNumberFormat="1" applyFont="1" applyBorder="1" applyAlignment="1">
      <alignment horizontal="center"/>
    </xf>
    <xf numFmtId="0" fontId="19" fillId="6" borderId="5" xfId="1" applyFont="1" applyFill="1" applyBorder="1" applyAlignment="1">
      <alignment wrapText="1"/>
    </xf>
    <xf numFmtId="0" fontId="12" fillId="8" borderId="0" xfId="1" applyFont="1" applyFill="1" applyBorder="1" applyAlignment="1">
      <alignment horizontal="left" vertical="center"/>
    </xf>
    <xf numFmtId="0" fontId="18" fillId="0" borderId="16" xfId="1" applyFont="1" applyBorder="1" applyAlignment="1">
      <alignment horizontal="center"/>
    </xf>
    <xf numFmtId="2" fontId="6" fillId="0" borderId="16" xfId="1" applyNumberFormat="1" applyFont="1" applyBorder="1" applyAlignment="1">
      <alignment horizontal="center"/>
    </xf>
    <xf numFmtId="0" fontId="18" fillId="0" borderId="3" xfId="1" applyFont="1" applyBorder="1" applyAlignment="1">
      <alignment horizontal="center"/>
    </xf>
    <xf numFmtId="0" fontId="18" fillId="0" borderId="4" xfId="1" applyFont="1" applyBorder="1" applyAlignment="1">
      <alignment horizontal="center"/>
    </xf>
    <xf numFmtId="0" fontId="13" fillId="8" borderId="18" xfId="1" applyFont="1" applyFill="1" applyBorder="1" applyAlignment="1">
      <alignment horizontal="left" vertical="center"/>
    </xf>
    <xf numFmtId="0" fontId="12" fillId="8" borderId="18" xfId="1" applyFont="1" applyFill="1" applyBorder="1" applyAlignment="1">
      <alignment horizontal="left" vertical="center"/>
    </xf>
    <xf numFmtId="0" fontId="12" fillId="8" borderId="6" xfId="1" applyFont="1" applyFill="1" applyBorder="1" applyAlignment="1">
      <alignment horizontal="left" vertical="center"/>
    </xf>
    <xf numFmtId="0" fontId="23" fillId="0" borderId="6" xfId="1" applyFont="1" applyBorder="1" applyAlignment="1">
      <alignment horizontal="center" vertical="center"/>
    </xf>
    <xf numFmtId="0" fontId="28" fillId="0" borderId="2" xfId="2" applyFont="1" applyBorder="1"/>
    <xf numFmtId="1" fontId="10" fillId="4" borderId="3" xfId="1" applyNumberFormat="1" applyFont="1" applyFill="1" applyBorder="1"/>
    <xf numFmtId="1" fontId="10" fillId="4" borderId="1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2" fontId="6" fillId="0" borderId="17" xfId="1" applyNumberFormat="1" applyFont="1" applyBorder="1" applyAlignment="1">
      <alignment horizontal="center"/>
    </xf>
    <xf numFmtId="0" fontId="29" fillId="0" borderId="2" xfId="2" applyFont="1" applyBorder="1"/>
    <xf numFmtId="1" fontId="10" fillId="11" borderId="16" xfId="1" applyNumberFormat="1" applyFont="1" applyFill="1" applyBorder="1" applyAlignment="1">
      <alignment horizontal="left"/>
    </xf>
    <xf numFmtId="0" fontId="30" fillId="8" borderId="17" xfId="1" applyFont="1" applyFill="1" applyBorder="1" applyAlignment="1">
      <alignment horizontal="left" vertical="center"/>
    </xf>
    <xf numFmtId="0" fontId="30" fillId="8" borderId="0" xfId="1" applyFont="1" applyFill="1" applyBorder="1" applyAlignment="1">
      <alignment horizontal="left" vertical="center"/>
    </xf>
    <xf numFmtId="0" fontId="30" fillId="8" borderId="17" xfId="1" applyFont="1" applyFill="1" applyBorder="1" applyAlignment="1">
      <alignment horizontal="center" vertical="center"/>
    </xf>
    <xf numFmtId="17" fontId="19" fillId="3" borderId="0" xfId="1" applyNumberFormat="1" applyFont="1" applyFill="1" applyBorder="1"/>
    <xf numFmtId="0" fontId="19" fillId="3" borderId="17" xfId="1" applyFont="1" applyFill="1" applyBorder="1"/>
    <xf numFmtId="2" fontId="19" fillId="3" borderId="16" xfId="1" applyNumberFormat="1" applyFont="1" applyFill="1" applyBorder="1"/>
    <xf numFmtId="164" fontId="19" fillId="3" borderId="17" xfId="1" applyNumberFormat="1" applyFont="1" applyFill="1" applyBorder="1"/>
    <xf numFmtId="0" fontId="19" fillId="3" borderId="0" xfId="1" applyFont="1" applyFill="1" applyBorder="1"/>
    <xf numFmtId="0" fontId="1" fillId="0" borderId="0" xfId="1" applyBorder="1"/>
    <xf numFmtId="0" fontId="17" fillId="0" borderId="0" xfId="1" applyFont="1"/>
    <xf numFmtId="0" fontId="1" fillId="0" borderId="0" xfId="1" applyAlignment="1">
      <alignment horizontal="right"/>
    </xf>
    <xf numFmtId="0" fontId="1" fillId="0" borderId="19" xfId="1" applyBorder="1"/>
    <xf numFmtId="0" fontId="1" fillId="0" borderId="1" xfId="1" applyBorder="1"/>
    <xf numFmtId="0" fontId="31" fillId="6" borderId="7" xfId="1" applyFont="1" applyFill="1" applyBorder="1"/>
    <xf numFmtId="49" fontId="11" fillId="4" borderId="7" xfId="1" applyNumberFormat="1" applyFont="1" applyFill="1" applyBorder="1" applyAlignment="1">
      <alignment horizontal="center" shrinkToFit="1"/>
    </xf>
    <xf numFmtId="49" fontId="10" fillId="4" borderId="14" xfId="1" applyNumberFormat="1" applyFont="1" applyFill="1" applyBorder="1" applyAlignment="1">
      <alignment horizontal="center"/>
    </xf>
    <xf numFmtId="49" fontId="11" fillId="4" borderId="7" xfId="1" applyNumberFormat="1" applyFont="1" applyFill="1" applyBorder="1" applyAlignment="1">
      <alignment horizontal="center"/>
    </xf>
    <xf numFmtId="49" fontId="12" fillId="8" borderId="4" xfId="1" applyNumberFormat="1" applyFont="1" applyFill="1" applyBorder="1" applyAlignment="1">
      <alignment horizontal="left" vertical="center"/>
    </xf>
    <xf numFmtId="49" fontId="12" fillId="8" borderId="18" xfId="1" applyNumberFormat="1" applyFont="1" applyFill="1" applyBorder="1" applyAlignment="1">
      <alignment horizontal="left" vertical="center"/>
    </xf>
    <xf numFmtId="49" fontId="10" fillId="4" borderId="0" xfId="1" applyNumberFormat="1" applyFont="1" applyFill="1" applyBorder="1" applyAlignment="1">
      <alignment horizontal="center"/>
    </xf>
    <xf numFmtId="49" fontId="30" fillId="8" borderId="17" xfId="1" applyNumberFormat="1" applyFont="1" applyFill="1" applyBorder="1" applyAlignment="1">
      <alignment horizontal="left" vertical="center"/>
    </xf>
    <xf numFmtId="49" fontId="33" fillId="4" borderId="7" xfId="1" applyNumberFormat="1" applyFont="1" applyFill="1" applyBorder="1" applyAlignment="1">
      <alignment horizontal="center"/>
    </xf>
    <xf numFmtId="0" fontId="32" fillId="2" borderId="0" xfId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Texto explicativo 2" xfId="2"/>
  </cellStyles>
  <dxfs count="1">
    <dxf>
      <font>
        <b/>
        <color rgb="FFFF0000"/>
        <name val="Arial1"/>
      </font>
      <numFmt numFmtId="0" formatCode="General"/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29</xdr:row>
      <xdr:rowOff>152400</xdr:rowOff>
    </xdr:from>
    <xdr:to>
      <xdr:col>55</xdr:col>
      <xdr:colOff>458731</xdr:colOff>
      <xdr:row>45</xdr:row>
      <xdr:rowOff>152400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27832" y="7553325"/>
          <a:ext cx="8488306" cy="27557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R125"/>
  <sheetViews>
    <sheetView tabSelected="1" zoomScale="96" zoomScaleNormal="96" workbookViewId="0">
      <selection sqref="A1:AO1"/>
    </sheetView>
  </sheetViews>
  <sheetFormatPr baseColWidth="10" defaultColWidth="10.28515625" defaultRowHeight="15"/>
  <cols>
    <col min="1" max="1" width="10.28515625" style="2" customWidth="1"/>
    <col min="2" max="2" width="6.5703125" style="2" customWidth="1"/>
    <col min="3" max="3" width="5.28515625" style="2" customWidth="1"/>
    <col min="4" max="4" width="42.28515625" style="2" customWidth="1"/>
    <col min="5" max="5" width="6.140625" style="2" customWidth="1"/>
    <col min="6" max="6" width="7.140625" style="198" customWidth="1"/>
    <col min="7" max="7" width="6.28515625" style="201" customWidth="1"/>
    <col min="8" max="8" width="6.140625" style="197" customWidth="1"/>
    <col min="9" max="11" width="4.5703125" style="2" customWidth="1"/>
    <col min="12" max="12" width="4.5703125" style="199" customWidth="1"/>
    <col min="13" max="13" width="4.5703125" style="2" customWidth="1"/>
    <col min="14" max="14" width="4.5703125" style="200" customWidth="1"/>
    <col min="15" max="19" width="4.5703125" style="197" customWidth="1"/>
    <col min="20" max="20" width="4.5703125" style="133" customWidth="1"/>
    <col min="21" max="21" width="4.5703125" style="2" customWidth="1"/>
    <col min="22" max="22" width="4.5703125" style="133" customWidth="1"/>
    <col min="23" max="23" width="5" style="133" customWidth="1"/>
    <col min="24" max="24" width="5.28515625" style="197" customWidth="1"/>
    <col min="25" max="25" width="4.5703125" style="197" customWidth="1"/>
    <col min="26" max="26" width="5.42578125" style="197" customWidth="1"/>
    <col min="27" max="28" width="4.5703125" style="2" customWidth="1"/>
    <col min="29" max="29" width="5.85546875" style="2" customWidth="1"/>
    <col min="30" max="33" width="4.5703125" style="2" customWidth="1"/>
    <col min="34" max="34" width="4.85546875" style="2" customWidth="1"/>
    <col min="35" max="41" width="4.5703125" style="2" customWidth="1"/>
    <col min="42" max="42" width="5.140625" style="2" customWidth="1"/>
    <col min="43" max="43" width="8.5703125" style="2" customWidth="1"/>
    <col min="44" max="44" width="7.28515625" style="2" customWidth="1"/>
    <col min="45" max="234" width="10.28515625" style="2" customWidth="1"/>
    <col min="235" max="16384" width="10.28515625" style="2"/>
  </cols>
  <sheetData>
    <row r="1" spans="1:44" ht="33.75">
      <c r="A1" s="211">
        <v>32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1"/>
      <c r="AB1" s="211"/>
      <c r="AC1" s="211"/>
      <c r="AD1" s="211"/>
      <c r="AE1" s="211"/>
      <c r="AF1" s="211"/>
      <c r="AG1" s="211"/>
      <c r="AH1" s="211"/>
      <c r="AI1" s="211"/>
      <c r="AJ1" s="211"/>
      <c r="AK1" s="211"/>
      <c r="AL1" s="211"/>
      <c r="AM1" s="211"/>
      <c r="AN1" s="211"/>
      <c r="AO1" s="211"/>
      <c r="AP1" s="1"/>
    </row>
    <row r="2" spans="1:44" ht="130.5" customHeight="1">
      <c r="A2" s="3" t="s">
        <v>162</v>
      </c>
      <c r="B2" s="3" t="s">
        <v>161</v>
      </c>
      <c r="C2" s="4" t="s">
        <v>0</v>
      </c>
      <c r="E2" s="5" t="s">
        <v>1</v>
      </c>
      <c r="F2" s="5" t="s">
        <v>2</v>
      </c>
      <c r="G2" s="5" t="s">
        <v>3</v>
      </c>
      <c r="H2" s="5"/>
      <c r="I2" s="6" t="s">
        <v>4</v>
      </c>
      <c r="J2" s="6" t="s">
        <v>5</v>
      </c>
      <c r="K2" s="6" t="s">
        <v>6</v>
      </c>
      <c r="L2" s="6" t="s">
        <v>7</v>
      </c>
      <c r="M2" s="6" t="s">
        <v>8</v>
      </c>
      <c r="N2" s="6" t="s">
        <v>9</v>
      </c>
      <c r="O2" s="6" t="s">
        <v>10</v>
      </c>
      <c r="P2" s="6" t="s">
        <v>11</v>
      </c>
      <c r="Q2" s="6" t="s">
        <v>12</v>
      </c>
      <c r="R2" s="6" t="s">
        <v>13</v>
      </c>
      <c r="S2" s="6" t="s">
        <v>14</v>
      </c>
      <c r="T2" s="6" t="s">
        <v>15</v>
      </c>
      <c r="U2" s="6" t="s">
        <v>16</v>
      </c>
      <c r="V2" s="6" t="s">
        <v>17</v>
      </c>
      <c r="W2" s="6" t="s">
        <v>18</v>
      </c>
      <c r="X2" s="6" t="s">
        <v>19</v>
      </c>
      <c r="Y2" s="6" t="s">
        <v>20</v>
      </c>
      <c r="Z2" s="6" t="s">
        <v>21</v>
      </c>
      <c r="AA2" s="6" t="s">
        <v>22</v>
      </c>
      <c r="AB2" s="6" t="s">
        <v>23</v>
      </c>
      <c r="AC2" s="6" t="s">
        <v>24</v>
      </c>
      <c r="AD2" s="6" t="s">
        <v>25</v>
      </c>
      <c r="AE2" s="6" t="s">
        <v>26</v>
      </c>
      <c r="AF2" s="7" t="s">
        <v>27</v>
      </c>
      <c r="AG2" s="7" t="s">
        <v>28</v>
      </c>
      <c r="AH2" s="7" t="s">
        <v>29</v>
      </c>
      <c r="AI2" s="7" t="s">
        <v>30</v>
      </c>
      <c r="AJ2" s="7" t="s">
        <v>31</v>
      </c>
      <c r="AK2" s="7" t="s">
        <v>32</v>
      </c>
      <c r="AL2" s="7" t="s">
        <v>33</v>
      </c>
      <c r="AM2" s="7" t="s">
        <v>34</v>
      </c>
      <c r="AN2" s="7" t="s">
        <v>35</v>
      </c>
      <c r="AO2" s="7" t="s">
        <v>36</v>
      </c>
      <c r="AP2" s="7" t="s">
        <v>37</v>
      </c>
    </row>
    <row r="3" spans="1:44" ht="15.75" customHeight="1">
      <c r="A3" s="8">
        <v>1</v>
      </c>
      <c r="B3" s="8">
        <v>2</v>
      </c>
      <c r="C3" s="8">
        <v>3</v>
      </c>
      <c r="D3" s="8">
        <v>4</v>
      </c>
      <c r="E3" s="8">
        <v>5</v>
      </c>
      <c r="F3" s="8">
        <v>7</v>
      </c>
      <c r="G3" s="8">
        <v>8</v>
      </c>
      <c r="H3" s="8">
        <v>9</v>
      </c>
      <c r="I3" s="8">
        <v>10</v>
      </c>
      <c r="J3" s="8">
        <v>11</v>
      </c>
      <c r="K3" s="8">
        <v>12</v>
      </c>
      <c r="L3" s="8">
        <v>13</v>
      </c>
      <c r="M3" s="8">
        <v>14</v>
      </c>
      <c r="N3" s="8">
        <v>15</v>
      </c>
      <c r="O3" s="8">
        <v>16</v>
      </c>
      <c r="P3" s="8">
        <v>17</v>
      </c>
      <c r="Q3" s="8">
        <v>18</v>
      </c>
      <c r="R3" s="8">
        <v>19</v>
      </c>
      <c r="S3" s="8">
        <v>20</v>
      </c>
      <c r="T3" s="8">
        <v>21</v>
      </c>
      <c r="U3" s="8">
        <v>22</v>
      </c>
      <c r="V3" s="8">
        <v>23</v>
      </c>
      <c r="W3" s="8">
        <v>24</v>
      </c>
      <c r="X3" s="8">
        <v>25</v>
      </c>
      <c r="Y3" s="8">
        <v>26</v>
      </c>
      <c r="Z3" s="8">
        <v>27</v>
      </c>
      <c r="AA3" s="8">
        <v>28</v>
      </c>
      <c r="AB3" s="8">
        <v>29</v>
      </c>
      <c r="AC3" s="8">
        <v>30</v>
      </c>
      <c r="AD3" s="8">
        <v>31</v>
      </c>
      <c r="AE3" s="8">
        <v>32</v>
      </c>
      <c r="AF3" s="8">
        <v>33</v>
      </c>
      <c r="AG3" s="8">
        <v>34</v>
      </c>
      <c r="AH3" s="8">
        <v>35</v>
      </c>
      <c r="AI3" s="8">
        <v>36</v>
      </c>
      <c r="AJ3" s="8">
        <v>37</v>
      </c>
      <c r="AK3" s="8">
        <v>38</v>
      </c>
      <c r="AL3" s="8">
        <v>39</v>
      </c>
      <c r="AM3" s="8">
        <v>40</v>
      </c>
      <c r="AN3" s="8">
        <v>41</v>
      </c>
      <c r="AO3" s="8">
        <v>42</v>
      </c>
      <c r="AP3" s="8">
        <v>43</v>
      </c>
      <c r="AR3" s="9"/>
    </row>
    <row r="4" spans="1:44" ht="14.25" customHeight="1">
      <c r="A4" s="12" t="s">
        <v>38</v>
      </c>
      <c r="B4" s="13" t="str">
        <f t="shared" ref="B4:B25" si="0">IF(SUM(I4:AP4)=G4,"X","")</f>
        <v>X</v>
      </c>
      <c r="C4" s="14" t="s">
        <v>39</v>
      </c>
      <c r="D4" s="15" t="s">
        <v>40</v>
      </c>
      <c r="E4" s="16">
        <v>198</v>
      </c>
      <c r="F4" s="17">
        <v>6</v>
      </c>
      <c r="G4" s="16">
        <v>6</v>
      </c>
      <c r="H4" s="16" t="s">
        <v>41</v>
      </c>
      <c r="I4" s="18"/>
      <c r="J4" s="18"/>
      <c r="K4" s="18"/>
      <c r="L4" s="18"/>
      <c r="M4" s="18"/>
      <c r="N4" s="19"/>
      <c r="O4" s="18"/>
      <c r="P4" s="18"/>
      <c r="Q4" s="18">
        <v>6</v>
      </c>
      <c r="R4" s="18"/>
      <c r="S4" s="18"/>
      <c r="T4" s="19"/>
      <c r="U4" s="18"/>
      <c r="V4" s="18"/>
      <c r="W4" s="18"/>
      <c r="X4" s="19"/>
      <c r="Y4" s="19"/>
      <c r="Z4" s="19"/>
      <c r="AA4" s="19"/>
      <c r="AB4" s="19"/>
      <c r="AC4" s="19"/>
      <c r="AD4" s="19"/>
      <c r="AE4" s="19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R4" s="9"/>
    </row>
    <row r="5" spans="1:44" ht="14.1" customHeight="1">
      <c r="A5" s="12" t="s">
        <v>38</v>
      </c>
      <c r="B5" s="13" t="str">
        <f t="shared" si="0"/>
        <v>X</v>
      </c>
      <c r="C5" s="14" t="s">
        <v>42</v>
      </c>
      <c r="D5" s="21" t="s">
        <v>43</v>
      </c>
      <c r="E5" s="22">
        <v>198</v>
      </c>
      <c r="F5" s="23">
        <v>6</v>
      </c>
      <c r="G5" s="22">
        <v>6</v>
      </c>
      <c r="H5" s="22" t="s">
        <v>44</v>
      </c>
      <c r="I5" s="18"/>
      <c r="J5" s="18"/>
      <c r="K5" s="24">
        <v>6</v>
      </c>
      <c r="L5" s="18"/>
      <c r="M5" s="18"/>
      <c r="N5" s="19"/>
      <c r="O5" s="18"/>
      <c r="P5" s="18"/>
      <c r="Q5" s="18"/>
      <c r="R5" s="18"/>
      <c r="S5" s="18"/>
      <c r="T5" s="19"/>
      <c r="U5" s="18"/>
      <c r="V5" s="18"/>
      <c r="W5" s="18"/>
      <c r="X5" s="19"/>
      <c r="Y5" s="19"/>
      <c r="Z5" s="19"/>
      <c r="AA5" s="19"/>
      <c r="AB5" s="19"/>
      <c r="AC5" s="19"/>
      <c r="AD5" s="19"/>
      <c r="AE5" s="19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</row>
    <row r="6" spans="1:44" ht="14.1" customHeight="1">
      <c r="A6" s="12" t="s">
        <v>38</v>
      </c>
      <c r="B6" s="13" t="str">
        <f t="shared" si="0"/>
        <v/>
      </c>
      <c r="C6" s="14" t="s">
        <v>45</v>
      </c>
      <c r="D6" s="25" t="s">
        <v>46</v>
      </c>
      <c r="E6" s="25">
        <v>198</v>
      </c>
      <c r="F6" s="25">
        <v>6</v>
      </c>
      <c r="G6" s="25"/>
      <c r="H6" s="26" t="s">
        <v>47</v>
      </c>
      <c r="I6" s="18"/>
      <c r="J6" s="18"/>
      <c r="K6" s="24"/>
      <c r="L6" s="18"/>
      <c r="M6" s="18"/>
      <c r="N6" s="19"/>
      <c r="O6" s="18"/>
      <c r="P6" s="18"/>
      <c r="Q6" s="18"/>
      <c r="R6" s="18"/>
      <c r="S6" s="18"/>
      <c r="T6" s="19"/>
      <c r="U6" s="18">
        <v>6</v>
      </c>
      <c r="V6" s="18"/>
      <c r="W6" s="18"/>
      <c r="X6" s="19"/>
      <c r="Y6" s="19"/>
      <c r="Z6" s="19"/>
      <c r="AA6" s="19"/>
      <c r="AB6" s="19"/>
      <c r="AC6" s="19"/>
      <c r="AD6" s="19"/>
      <c r="AE6" s="19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R6" s="9"/>
    </row>
    <row r="7" spans="1:44" ht="14.1" customHeight="1">
      <c r="A7" s="12" t="s">
        <v>38</v>
      </c>
      <c r="B7" s="13" t="str">
        <f t="shared" si="0"/>
        <v>X</v>
      </c>
      <c r="C7" s="14" t="s">
        <v>45</v>
      </c>
      <c r="D7" s="15" t="s">
        <v>48</v>
      </c>
      <c r="E7" s="16">
        <v>198</v>
      </c>
      <c r="F7" s="17">
        <v>6</v>
      </c>
      <c r="G7" s="16">
        <v>6</v>
      </c>
      <c r="H7" s="16" t="s">
        <v>41</v>
      </c>
      <c r="I7" s="18">
        <v>6</v>
      </c>
      <c r="J7" s="18"/>
      <c r="K7" s="18"/>
      <c r="L7" s="18"/>
      <c r="M7" s="18"/>
      <c r="N7" s="19"/>
      <c r="O7" s="18"/>
      <c r="P7" s="18"/>
      <c r="Q7" s="18"/>
      <c r="R7" s="18"/>
      <c r="S7" s="18"/>
      <c r="T7" s="19"/>
      <c r="U7" s="18"/>
      <c r="V7" s="18"/>
      <c r="W7" s="18"/>
      <c r="X7" s="19"/>
      <c r="Y7" s="19"/>
      <c r="Z7" s="19"/>
      <c r="AA7" s="19"/>
      <c r="AB7" s="19"/>
      <c r="AC7" s="19"/>
      <c r="AD7" s="19"/>
      <c r="AE7" s="27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R7" s="9"/>
    </row>
    <row r="8" spans="1:44" ht="14.1" customHeight="1">
      <c r="A8" s="12" t="s">
        <v>38</v>
      </c>
      <c r="B8" s="13" t="str">
        <f t="shared" si="0"/>
        <v>X</v>
      </c>
      <c r="C8" s="14" t="s">
        <v>42</v>
      </c>
      <c r="D8" s="25" t="s">
        <v>49</v>
      </c>
      <c r="E8" s="28">
        <v>198</v>
      </c>
      <c r="F8" s="29">
        <v>6</v>
      </c>
      <c r="G8" s="28">
        <v>6</v>
      </c>
      <c r="H8" s="28" t="s">
        <v>47</v>
      </c>
      <c r="I8" s="30"/>
      <c r="J8" s="30"/>
      <c r="K8" s="30"/>
      <c r="L8" s="30"/>
      <c r="M8" s="31"/>
      <c r="N8" s="31"/>
      <c r="O8" s="30"/>
      <c r="P8" s="30"/>
      <c r="Q8" s="30"/>
      <c r="R8" s="30"/>
      <c r="S8" s="30"/>
      <c r="T8" s="30">
        <v>6</v>
      </c>
      <c r="U8" s="30"/>
      <c r="V8" s="30"/>
      <c r="W8" s="30"/>
      <c r="X8" s="30"/>
      <c r="Y8" s="30"/>
      <c r="Z8" s="30"/>
      <c r="AA8" s="30"/>
      <c r="AB8" s="30"/>
      <c r="AC8" s="30"/>
      <c r="AD8" s="30"/>
      <c r="AE8" s="32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</row>
    <row r="9" spans="1:44" ht="13.5" customHeight="1">
      <c r="A9" s="12" t="s">
        <v>38</v>
      </c>
      <c r="B9" s="13" t="str">
        <f t="shared" si="0"/>
        <v>X</v>
      </c>
      <c r="C9" s="14" t="s">
        <v>45</v>
      </c>
      <c r="D9" s="15" t="s">
        <v>50</v>
      </c>
      <c r="E9" s="16">
        <v>132</v>
      </c>
      <c r="F9" s="17">
        <v>4</v>
      </c>
      <c r="G9" s="16">
        <v>4</v>
      </c>
      <c r="H9" s="16" t="s">
        <v>41</v>
      </c>
      <c r="I9" s="18"/>
      <c r="J9" s="18"/>
      <c r="K9" s="18"/>
      <c r="L9" s="18"/>
      <c r="M9" s="19"/>
      <c r="N9" s="19"/>
      <c r="O9" s="18"/>
      <c r="P9" s="18"/>
      <c r="Q9" s="18"/>
      <c r="R9" s="18"/>
      <c r="S9" s="18"/>
      <c r="T9" s="19"/>
      <c r="U9" s="18"/>
      <c r="V9" s="18"/>
      <c r="W9" s="18"/>
      <c r="X9" s="19"/>
      <c r="Y9" s="19">
        <v>4</v>
      </c>
      <c r="Z9" s="19"/>
      <c r="AA9" s="19"/>
      <c r="AB9" s="19"/>
      <c r="AC9" s="19"/>
      <c r="AD9" s="19"/>
      <c r="AE9" s="19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</row>
    <row r="10" spans="1:44" ht="14.1" customHeight="1">
      <c r="A10" s="12" t="s">
        <v>38</v>
      </c>
      <c r="B10" s="13" t="str">
        <f t="shared" si="0"/>
        <v>X</v>
      </c>
      <c r="C10" s="14" t="s">
        <v>42</v>
      </c>
      <c r="D10" s="25" t="s">
        <v>51</v>
      </c>
      <c r="E10" s="28">
        <v>132</v>
      </c>
      <c r="F10" s="29">
        <v>4</v>
      </c>
      <c r="G10" s="28">
        <v>4</v>
      </c>
      <c r="H10" s="28" t="s">
        <v>47</v>
      </c>
      <c r="I10" s="30"/>
      <c r="J10" s="30"/>
      <c r="K10" s="30"/>
      <c r="L10" s="30"/>
      <c r="M10" s="31"/>
      <c r="N10" s="31"/>
      <c r="O10" s="30"/>
      <c r="P10" s="30"/>
      <c r="Q10" s="30"/>
      <c r="R10" s="30"/>
      <c r="S10" s="30"/>
      <c r="T10" s="30">
        <v>4</v>
      </c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1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</row>
    <row r="11" spans="1:44" ht="14.1" customHeight="1">
      <c r="A11" s="12" t="s">
        <v>52</v>
      </c>
      <c r="B11" s="13" t="str">
        <f t="shared" si="0"/>
        <v>X</v>
      </c>
      <c r="C11" s="14" t="s">
        <v>53</v>
      </c>
      <c r="D11" s="33" t="s">
        <v>54</v>
      </c>
      <c r="E11" s="16">
        <v>120</v>
      </c>
      <c r="F11" s="17">
        <v>6</v>
      </c>
      <c r="G11" s="34">
        <v>3.64</v>
      </c>
      <c r="H11" s="34" t="s">
        <v>41</v>
      </c>
      <c r="I11" s="20"/>
      <c r="J11" s="20"/>
      <c r="K11" s="20">
        <v>3.64</v>
      </c>
      <c r="L11" s="20"/>
      <c r="M11" s="35"/>
      <c r="N11" s="35"/>
      <c r="O11" s="20"/>
      <c r="P11" s="20"/>
      <c r="Q11" s="20"/>
      <c r="R11" s="20"/>
      <c r="S11" s="20"/>
      <c r="T11" s="35"/>
      <c r="U11" s="20"/>
      <c r="V11" s="20"/>
      <c r="W11" s="20"/>
      <c r="X11" s="35"/>
      <c r="Y11" s="35"/>
      <c r="Z11" s="35"/>
      <c r="AA11" s="35"/>
      <c r="AB11" s="35"/>
      <c r="AC11" s="35"/>
      <c r="AD11" s="35"/>
      <c r="AE11" s="35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</row>
    <row r="12" spans="1:44" ht="14.1" customHeight="1">
      <c r="A12" s="12" t="s">
        <v>52</v>
      </c>
      <c r="B12" s="13" t="str">
        <f t="shared" si="0"/>
        <v>X</v>
      </c>
      <c r="C12" s="14" t="s">
        <v>53</v>
      </c>
      <c r="D12" s="36" t="s">
        <v>55</v>
      </c>
      <c r="E12" s="16">
        <v>100</v>
      </c>
      <c r="F12" s="17">
        <v>5</v>
      </c>
      <c r="G12" s="34">
        <v>3.03</v>
      </c>
      <c r="H12" s="34" t="s">
        <v>41</v>
      </c>
      <c r="I12" s="20"/>
      <c r="J12" s="20"/>
      <c r="K12" s="20"/>
      <c r="L12" s="20"/>
      <c r="M12" s="35"/>
      <c r="N12" s="35"/>
      <c r="O12" s="20"/>
      <c r="P12" s="20"/>
      <c r="Q12" s="20"/>
      <c r="R12" s="20"/>
      <c r="S12" s="20"/>
      <c r="T12" s="35"/>
      <c r="U12" s="20"/>
      <c r="V12" s="20"/>
      <c r="W12" s="20"/>
      <c r="X12" s="35"/>
      <c r="Y12" s="35"/>
      <c r="Z12" s="35"/>
      <c r="AA12" s="35">
        <v>3.03</v>
      </c>
      <c r="AB12" s="35"/>
      <c r="AC12" s="35"/>
      <c r="AD12" s="35"/>
      <c r="AE12" s="37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</row>
    <row r="13" spans="1:44" ht="14.1" customHeight="1">
      <c r="A13" s="12" t="s">
        <v>52</v>
      </c>
      <c r="B13" s="13" t="str">
        <f t="shared" si="0"/>
        <v>X</v>
      </c>
      <c r="C13" s="14" t="s">
        <v>42</v>
      </c>
      <c r="D13" s="25" t="s">
        <v>56</v>
      </c>
      <c r="E13" s="25">
        <v>100</v>
      </c>
      <c r="F13" s="25">
        <v>5</v>
      </c>
      <c r="G13" s="25">
        <v>3.03</v>
      </c>
      <c r="H13" s="25" t="s">
        <v>47</v>
      </c>
      <c r="I13" s="20"/>
      <c r="J13" s="20"/>
      <c r="K13" s="20"/>
      <c r="L13" s="20"/>
      <c r="M13" s="35"/>
      <c r="N13" s="35"/>
      <c r="O13" s="20"/>
      <c r="P13" s="20"/>
      <c r="Q13" s="20"/>
      <c r="R13" s="20"/>
      <c r="S13" s="20"/>
      <c r="T13" s="35"/>
      <c r="U13" s="20"/>
      <c r="V13" s="20"/>
      <c r="W13" s="20">
        <v>3.03</v>
      </c>
      <c r="X13" s="35"/>
      <c r="Y13" s="35"/>
      <c r="Z13" s="35"/>
      <c r="AA13" s="35"/>
      <c r="AB13" s="35"/>
      <c r="AC13" s="35"/>
      <c r="AD13" s="35"/>
      <c r="AE13" s="37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</row>
    <row r="14" spans="1:44" ht="14.1" customHeight="1">
      <c r="A14" s="12" t="s">
        <v>52</v>
      </c>
      <c r="B14" s="13" t="str">
        <f t="shared" si="0"/>
        <v>X</v>
      </c>
      <c r="C14" s="14">
        <v>12</v>
      </c>
      <c r="D14" s="33" t="s">
        <v>57</v>
      </c>
      <c r="E14" s="16">
        <v>60</v>
      </c>
      <c r="F14" s="17">
        <v>3</v>
      </c>
      <c r="G14" s="34">
        <v>1.82</v>
      </c>
      <c r="H14" s="34" t="s">
        <v>41</v>
      </c>
      <c r="I14" s="20"/>
      <c r="J14" s="20"/>
      <c r="K14" s="20"/>
      <c r="L14" s="20"/>
      <c r="M14" s="35"/>
      <c r="N14" s="35"/>
      <c r="O14" s="20"/>
      <c r="P14" s="20"/>
      <c r="Q14" s="20"/>
      <c r="R14" s="20"/>
      <c r="S14" s="20"/>
      <c r="T14" s="35"/>
      <c r="U14" s="20"/>
      <c r="V14" s="20"/>
      <c r="W14" s="20"/>
      <c r="X14" s="35"/>
      <c r="Y14" s="35"/>
      <c r="Z14" s="35"/>
      <c r="AA14" s="35">
        <v>1.82</v>
      </c>
      <c r="AB14" s="35"/>
      <c r="AC14" s="35"/>
      <c r="AD14" s="35"/>
      <c r="AE14" s="35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</row>
    <row r="15" spans="1:44" ht="14.1" customHeight="1">
      <c r="A15" s="12" t="s">
        <v>52</v>
      </c>
      <c r="B15" s="13" t="str">
        <f>IF(SUM(I15:AP15)=G15,"X","")</f>
        <v>X</v>
      </c>
      <c r="C15" s="14">
        <v>12</v>
      </c>
      <c r="D15" s="33" t="s">
        <v>58</v>
      </c>
      <c r="E15" s="16">
        <v>100</v>
      </c>
      <c r="F15" s="17">
        <v>5</v>
      </c>
      <c r="G15" s="34">
        <v>3.03</v>
      </c>
      <c r="H15" s="34" t="s">
        <v>41</v>
      </c>
      <c r="I15" s="20"/>
      <c r="J15" s="20"/>
      <c r="K15" s="20"/>
      <c r="L15" s="20"/>
      <c r="M15" s="35"/>
      <c r="N15" s="35"/>
      <c r="O15" s="20"/>
      <c r="P15" s="20"/>
      <c r="Q15" s="20">
        <v>3.03</v>
      </c>
      <c r="R15" s="20"/>
      <c r="S15" s="20"/>
      <c r="T15" s="35"/>
      <c r="U15" s="20"/>
      <c r="V15" s="20"/>
      <c r="W15" s="20"/>
      <c r="X15" s="35"/>
      <c r="Y15" s="35"/>
      <c r="Z15" s="35"/>
      <c r="AA15" s="35"/>
      <c r="AB15" s="35"/>
      <c r="AC15" s="35"/>
      <c r="AD15" s="35"/>
      <c r="AE15" s="35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</row>
    <row r="16" spans="1:44" ht="14.1" customHeight="1">
      <c r="A16" s="12" t="s">
        <v>52</v>
      </c>
      <c r="B16" s="13" t="str">
        <f t="shared" si="0"/>
        <v>X</v>
      </c>
      <c r="C16" s="14" t="s">
        <v>42</v>
      </c>
      <c r="D16" s="38" t="s">
        <v>59</v>
      </c>
      <c r="E16" s="22">
        <v>100</v>
      </c>
      <c r="F16" s="23">
        <v>5</v>
      </c>
      <c r="G16" s="39">
        <v>3.03</v>
      </c>
      <c r="H16" s="39" t="s">
        <v>44</v>
      </c>
      <c r="I16" s="20"/>
      <c r="J16" s="20"/>
      <c r="K16" s="20"/>
      <c r="L16" s="20"/>
      <c r="M16" s="35"/>
      <c r="N16" s="35"/>
      <c r="O16" s="20"/>
      <c r="P16" s="20"/>
      <c r="Q16" s="20"/>
      <c r="R16" s="20">
        <v>3.03</v>
      </c>
      <c r="S16" s="20"/>
      <c r="T16" s="35"/>
      <c r="U16" s="20"/>
      <c r="V16" s="20"/>
      <c r="W16" s="20"/>
      <c r="X16" s="35"/>
      <c r="Y16" s="35"/>
      <c r="Z16" s="35"/>
      <c r="AA16" s="35"/>
      <c r="AB16" s="35"/>
      <c r="AC16" s="35"/>
      <c r="AD16" s="35"/>
      <c r="AE16" s="35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</row>
    <row r="17" spans="1:42" ht="14.1" customHeight="1">
      <c r="A17" s="12" t="s">
        <v>60</v>
      </c>
      <c r="B17" s="13" t="str">
        <f t="shared" si="0"/>
        <v>X</v>
      </c>
      <c r="C17" s="14"/>
      <c r="D17" s="40" t="s">
        <v>61</v>
      </c>
      <c r="E17" s="41">
        <v>50</v>
      </c>
      <c r="F17" s="42">
        <v>1.52</v>
      </c>
      <c r="G17" s="42">
        <v>1.52</v>
      </c>
      <c r="H17" s="42" t="s">
        <v>41</v>
      </c>
      <c r="I17" s="43"/>
      <c r="J17" s="43"/>
      <c r="K17" s="43">
        <v>1.52</v>
      </c>
      <c r="L17" s="43"/>
      <c r="M17" s="44"/>
      <c r="N17" s="44"/>
      <c r="O17" s="43"/>
      <c r="P17" s="43"/>
      <c r="Q17" s="43"/>
      <c r="R17" s="43"/>
      <c r="S17" s="43"/>
      <c r="T17" s="44"/>
      <c r="U17" s="43"/>
      <c r="V17" s="43"/>
      <c r="W17" s="43"/>
      <c r="X17" s="44"/>
      <c r="Y17" s="44"/>
      <c r="Z17" s="44"/>
      <c r="AA17" s="44"/>
      <c r="AB17" s="44"/>
      <c r="AC17" s="44"/>
      <c r="AD17" s="44"/>
      <c r="AE17" s="45"/>
      <c r="AF17" s="46"/>
      <c r="AG17" s="46"/>
      <c r="AH17" s="47"/>
      <c r="AI17" s="46"/>
      <c r="AJ17" s="46"/>
      <c r="AK17" s="46"/>
      <c r="AL17" s="46"/>
      <c r="AM17" s="48"/>
      <c r="AN17" s="48"/>
      <c r="AO17" s="46"/>
      <c r="AP17" s="46"/>
    </row>
    <row r="18" spans="1:42" ht="14.1" customHeight="1">
      <c r="A18" s="12" t="s">
        <v>60</v>
      </c>
      <c r="B18" s="13" t="str">
        <f t="shared" si="0"/>
        <v>X</v>
      </c>
      <c r="C18" s="14"/>
      <c r="D18" s="40" t="s">
        <v>62</v>
      </c>
      <c r="E18" s="41"/>
      <c r="F18" s="42">
        <v>1.85</v>
      </c>
      <c r="G18" s="42">
        <v>1.85</v>
      </c>
      <c r="H18" s="42" t="s">
        <v>63</v>
      </c>
      <c r="I18" s="49"/>
      <c r="J18" s="43"/>
      <c r="K18" s="43"/>
      <c r="L18" s="43"/>
      <c r="M18" s="44"/>
      <c r="N18" s="44"/>
      <c r="O18" s="43"/>
      <c r="P18" s="43"/>
      <c r="Q18" s="43"/>
      <c r="R18" s="43"/>
      <c r="S18" s="43"/>
      <c r="T18" s="44"/>
      <c r="U18" s="43"/>
      <c r="V18" s="43"/>
      <c r="W18" s="43">
        <v>1.85</v>
      </c>
      <c r="X18" s="44"/>
      <c r="Y18" s="44"/>
      <c r="Z18" s="44"/>
      <c r="AA18" s="44"/>
      <c r="AB18" s="44"/>
      <c r="AC18" s="44"/>
      <c r="AD18" s="44"/>
      <c r="AE18" s="45"/>
      <c r="AF18" s="46"/>
      <c r="AG18" s="46"/>
      <c r="AH18" s="47"/>
      <c r="AI18" s="46"/>
      <c r="AJ18" s="46"/>
      <c r="AK18" s="46"/>
      <c r="AL18" s="46"/>
      <c r="AM18" s="48"/>
      <c r="AN18" s="48"/>
      <c r="AO18" s="46"/>
      <c r="AP18" s="46"/>
    </row>
    <row r="19" spans="1:42" ht="14.1" customHeight="1">
      <c r="A19" s="12" t="s">
        <v>60</v>
      </c>
      <c r="B19" s="13" t="str">
        <f t="shared" si="0"/>
        <v>X</v>
      </c>
      <c r="C19" s="14"/>
      <c r="D19" s="40" t="s">
        <v>62</v>
      </c>
      <c r="E19" s="41"/>
      <c r="F19" s="42">
        <v>1.5</v>
      </c>
      <c r="G19" s="42">
        <v>1.5</v>
      </c>
      <c r="H19" s="42" t="s">
        <v>41</v>
      </c>
      <c r="I19" s="43">
        <v>1.5</v>
      </c>
      <c r="J19" s="43"/>
      <c r="K19" s="43"/>
      <c r="L19" s="43"/>
      <c r="M19" s="44"/>
      <c r="N19" s="44"/>
      <c r="O19" s="43"/>
      <c r="P19" s="43"/>
      <c r="Q19" s="43"/>
      <c r="R19" s="43"/>
      <c r="S19" s="43"/>
      <c r="T19" s="44"/>
      <c r="U19" s="43"/>
      <c r="V19" s="43"/>
      <c r="W19" s="43"/>
      <c r="X19" s="44"/>
      <c r="Y19" s="44"/>
      <c r="Z19" s="44"/>
      <c r="AA19" s="44"/>
      <c r="AB19" s="44"/>
      <c r="AC19" s="44"/>
      <c r="AD19" s="44"/>
      <c r="AE19" s="44"/>
      <c r="AF19" s="46"/>
      <c r="AG19" s="46"/>
      <c r="AH19" s="47"/>
      <c r="AI19" s="46"/>
      <c r="AJ19" s="46"/>
      <c r="AK19" s="46"/>
      <c r="AL19" s="46"/>
      <c r="AM19" s="48"/>
      <c r="AN19" s="48"/>
      <c r="AO19" s="46"/>
      <c r="AP19" s="46"/>
    </row>
    <row r="20" spans="1:42" ht="14.1" customHeight="1">
      <c r="A20" s="12" t="s">
        <v>60</v>
      </c>
      <c r="B20" s="13" t="str">
        <f t="shared" si="0"/>
        <v>X</v>
      </c>
      <c r="C20" s="14"/>
      <c r="D20" s="40" t="s">
        <v>62</v>
      </c>
      <c r="E20" s="50"/>
      <c r="F20" s="50">
        <v>1.5</v>
      </c>
      <c r="G20" s="42">
        <v>1.5</v>
      </c>
      <c r="H20" s="41" t="s">
        <v>41</v>
      </c>
      <c r="I20" s="43">
        <v>1.5</v>
      </c>
      <c r="J20" s="51"/>
      <c r="K20" s="43"/>
      <c r="L20" s="51"/>
      <c r="M20" s="52"/>
      <c r="N20" s="52"/>
      <c r="O20" s="51"/>
      <c r="P20" s="51"/>
      <c r="Q20" s="51"/>
      <c r="R20" s="51"/>
      <c r="S20" s="43"/>
      <c r="T20" s="52"/>
      <c r="U20" s="43"/>
      <c r="V20" s="43"/>
      <c r="W20" s="51"/>
      <c r="X20" s="52"/>
      <c r="Y20" s="52"/>
      <c r="Z20" s="44"/>
      <c r="AA20" s="52"/>
      <c r="AB20" s="52"/>
      <c r="AC20" s="52"/>
      <c r="AD20" s="52"/>
      <c r="AE20" s="52"/>
      <c r="AF20" s="53"/>
      <c r="AG20" s="53"/>
      <c r="AH20" s="53"/>
      <c r="AI20" s="53"/>
      <c r="AJ20" s="53"/>
      <c r="AK20" s="53"/>
      <c r="AL20" s="54"/>
      <c r="AM20" s="55"/>
      <c r="AN20" s="55"/>
      <c r="AO20" s="53"/>
      <c r="AP20" s="46"/>
    </row>
    <row r="21" spans="1:42" ht="14.1" customHeight="1">
      <c r="A21" s="12" t="s">
        <v>38</v>
      </c>
      <c r="B21" s="13" t="str">
        <f>IF(SUM(I21:AP21)=G21,"X","")</f>
        <v>X</v>
      </c>
      <c r="C21" s="14" t="s">
        <v>45</v>
      </c>
      <c r="D21" s="56" t="s">
        <v>64</v>
      </c>
      <c r="E21" s="57">
        <v>264</v>
      </c>
      <c r="F21" s="58">
        <v>8</v>
      </c>
      <c r="G21" s="57">
        <v>8</v>
      </c>
      <c r="H21" s="57" t="s">
        <v>65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35"/>
      <c r="AF21" s="59"/>
      <c r="AG21" s="59"/>
      <c r="AH21" s="59">
        <v>8</v>
      </c>
      <c r="AI21" s="59"/>
      <c r="AJ21" s="59"/>
      <c r="AK21" s="59"/>
      <c r="AL21" s="59"/>
      <c r="AM21" s="60"/>
      <c r="AN21" s="60"/>
      <c r="AO21" s="59"/>
      <c r="AP21" s="59"/>
    </row>
    <row r="22" spans="1:42" ht="13.5" customHeight="1">
      <c r="A22" s="12" t="s">
        <v>38</v>
      </c>
      <c r="B22" s="13" t="str">
        <f t="shared" si="0"/>
        <v>X</v>
      </c>
      <c r="C22" s="14" t="s">
        <v>39</v>
      </c>
      <c r="D22" s="61" t="s">
        <v>66</v>
      </c>
      <c r="E22" s="62">
        <v>99</v>
      </c>
      <c r="F22" s="63">
        <v>3</v>
      </c>
      <c r="G22" s="62">
        <v>3</v>
      </c>
      <c r="H22" s="62" t="s">
        <v>63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37"/>
      <c r="AF22" s="30"/>
      <c r="AG22" s="30"/>
      <c r="AH22" s="30"/>
      <c r="AI22" s="30"/>
      <c r="AJ22" s="30"/>
      <c r="AK22" s="30"/>
      <c r="AL22" s="30"/>
      <c r="AM22" s="31"/>
      <c r="AN22" s="31"/>
      <c r="AO22" s="30"/>
      <c r="AP22" s="59">
        <v>3</v>
      </c>
    </row>
    <row r="23" spans="1:42" ht="14.1" customHeight="1">
      <c r="A23" s="12" t="s">
        <v>38</v>
      </c>
      <c r="B23" s="13" t="str">
        <f>IF(SUM(I23:AP23)=G23,"X","")</f>
        <v>X</v>
      </c>
      <c r="C23" s="14" t="s">
        <v>45</v>
      </c>
      <c r="D23" s="56" t="s">
        <v>67</v>
      </c>
      <c r="E23" s="57">
        <v>99</v>
      </c>
      <c r="F23" s="58">
        <v>3</v>
      </c>
      <c r="G23" s="57">
        <v>3</v>
      </c>
      <c r="H23" s="57" t="s">
        <v>65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37"/>
      <c r="AF23" s="59"/>
      <c r="AG23" s="59"/>
      <c r="AH23" s="59"/>
      <c r="AI23" s="59"/>
      <c r="AJ23" s="59"/>
      <c r="AK23" s="59"/>
      <c r="AL23" s="59"/>
      <c r="AM23" s="60"/>
      <c r="AN23" s="60">
        <v>3</v>
      </c>
      <c r="AO23" s="59"/>
      <c r="AP23" s="59"/>
    </row>
    <row r="24" spans="1:42" ht="14.1" customHeight="1">
      <c r="A24" s="12" t="s">
        <v>52</v>
      </c>
      <c r="B24" s="13" t="str">
        <f t="shared" si="0"/>
        <v>X</v>
      </c>
      <c r="C24" s="14" t="s">
        <v>53</v>
      </c>
      <c r="D24" s="56" t="s">
        <v>68</v>
      </c>
      <c r="E24" s="57">
        <v>120</v>
      </c>
      <c r="F24" s="58">
        <v>6</v>
      </c>
      <c r="G24" s="64">
        <v>3.6</v>
      </c>
      <c r="H24" s="64" t="s">
        <v>65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35"/>
      <c r="AF24" s="65"/>
      <c r="AG24" s="65"/>
      <c r="AH24" s="65">
        <v>3.6</v>
      </c>
      <c r="AI24" s="65"/>
      <c r="AJ24" s="65"/>
      <c r="AK24" s="65"/>
      <c r="AL24" s="65"/>
      <c r="AM24" s="66"/>
      <c r="AN24" s="66"/>
      <c r="AO24" s="65"/>
      <c r="AP24" s="59"/>
    </row>
    <row r="25" spans="1:42" ht="14.1" customHeight="1">
      <c r="A25" s="12" t="s">
        <v>52</v>
      </c>
      <c r="B25" s="13" t="str">
        <f t="shared" si="0"/>
        <v>X</v>
      </c>
      <c r="C25" s="14" t="s">
        <v>69</v>
      </c>
      <c r="D25" s="202" t="s">
        <v>70</v>
      </c>
      <c r="E25" s="68">
        <v>120</v>
      </c>
      <c r="F25" s="69">
        <v>6</v>
      </c>
      <c r="G25" s="70">
        <v>3.6</v>
      </c>
      <c r="H25" s="70" t="s">
        <v>63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35"/>
      <c r="AF25" s="65"/>
      <c r="AG25" s="65"/>
      <c r="AH25" s="71"/>
      <c r="AI25" s="65"/>
      <c r="AJ25" s="65"/>
      <c r="AK25" s="65"/>
      <c r="AL25" s="72"/>
      <c r="AM25" s="71"/>
      <c r="AN25" s="71"/>
      <c r="AO25" s="72"/>
      <c r="AP25" s="65">
        <v>3.6</v>
      </c>
    </row>
    <row r="26" spans="1:42" ht="14.1" customHeight="1">
      <c r="A26" s="73"/>
      <c r="B26" s="74"/>
      <c r="C26" s="75"/>
      <c r="D26" s="76"/>
      <c r="E26" s="77"/>
      <c r="F26" s="78"/>
      <c r="G26" s="79"/>
      <c r="H26" s="79"/>
      <c r="I26" s="80"/>
      <c r="J26" s="80"/>
      <c r="K26" s="80"/>
      <c r="L26" s="80"/>
      <c r="M26" s="80"/>
      <c r="N26" s="81"/>
      <c r="O26" s="80"/>
      <c r="P26" s="80"/>
      <c r="Q26" s="80"/>
      <c r="R26" s="80"/>
      <c r="S26" s="80"/>
      <c r="T26" s="81"/>
      <c r="U26" s="80"/>
      <c r="V26" s="80"/>
      <c r="W26" s="80"/>
      <c r="X26" s="81"/>
      <c r="Y26" s="81"/>
      <c r="Z26" s="81"/>
      <c r="AA26" s="81"/>
      <c r="AB26" s="81"/>
      <c r="AC26" s="81"/>
      <c r="AD26" s="81"/>
      <c r="AE26" s="81"/>
      <c r="AF26" s="82"/>
      <c r="AG26" s="82"/>
      <c r="AH26" s="83"/>
      <c r="AI26" s="82"/>
      <c r="AJ26" s="82"/>
      <c r="AK26" s="82"/>
      <c r="AL26" s="84"/>
      <c r="AM26" s="83"/>
      <c r="AN26" s="83"/>
      <c r="AO26" s="84"/>
      <c r="AP26" s="85"/>
    </row>
    <row r="27" spans="1:42" ht="14.1" customHeight="1">
      <c r="A27" s="86" t="s">
        <v>71</v>
      </c>
      <c r="B27" s="13" t="str">
        <f t="shared" ref="B27:B40" si="1">IF(SUM(I27:AP27)=G27,"X","")</f>
        <v>X</v>
      </c>
      <c r="C27" s="14" t="s">
        <v>45</v>
      </c>
      <c r="D27" s="15" t="s">
        <v>72</v>
      </c>
      <c r="E27" s="16">
        <v>198</v>
      </c>
      <c r="F27" s="17">
        <v>6</v>
      </c>
      <c r="G27" s="16">
        <v>6</v>
      </c>
      <c r="H27" s="16" t="s">
        <v>41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>
        <v>6</v>
      </c>
      <c r="Y27" s="20"/>
      <c r="Z27" s="20"/>
      <c r="AA27" s="20"/>
      <c r="AB27" s="20"/>
      <c r="AC27" s="20"/>
      <c r="AD27" s="20"/>
      <c r="AE27" s="37"/>
      <c r="AF27" s="65"/>
      <c r="AG27" s="65"/>
      <c r="AH27" s="71"/>
      <c r="AI27" s="65"/>
      <c r="AJ27" s="65"/>
      <c r="AK27" s="65"/>
      <c r="AL27" s="72"/>
      <c r="AM27" s="71"/>
      <c r="AN27" s="71"/>
      <c r="AO27" s="72"/>
      <c r="AP27" s="72"/>
    </row>
    <row r="28" spans="1:42" ht="14.1" customHeight="1">
      <c r="A28" s="86" t="s">
        <v>71</v>
      </c>
      <c r="B28" s="13" t="str">
        <f t="shared" si="1"/>
        <v>X</v>
      </c>
      <c r="C28" s="14" t="s">
        <v>45</v>
      </c>
      <c r="D28" s="15" t="s">
        <v>73</v>
      </c>
      <c r="E28" s="16">
        <v>198</v>
      </c>
      <c r="F28" s="17">
        <v>6</v>
      </c>
      <c r="G28" s="16">
        <v>6</v>
      </c>
      <c r="H28" s="16" t="s">
        <v>41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B28" s="20"/>
      <c r="AC28" s="20"/>
      <c r="AD28" s="20"/>
      <c r="AE28" s="37">
        <v>6</v>
      </c>
      <c r="AF28" s="65"/>
      <c r="AG28" s="65"/>
      <c r="AH28" s="71"/>
      <c r="AI28" s="65"/>
      <c r="AJ28" s="65"/>
      <c r="AK28" s="65"/>
      <c r="AL28" s="72"/>
      <c r="AM28" s="71"/>
      <c r="AN28" s="71"/>
      <c r="AO28" s="72"/>
      <c r="AP28" s="72"/>
    </row>
    <row r="29" spans="1:42" ht="14.1" customHeight="1">
      <c r="A29" s="86" t="s">
        <v>71</v>
      </c>
      <c r="B29" s="13" t="str">
        <f t="shared" si="1"/>
        <v>X</v>
      </c>
      <c r="C29" s="14" t="s">
        <v>45</v>
      </c>
      <c r="D29" s="15" t="s">
        <v>74</v>
      </c>
      <c r="E29" s="16">
        <v>132</v>
      </c>
      <c r="F29" s="17">
        <v>4</v>
      </c>
      <c r="G29" s="16">
        <v>4</v>
      </c>
      <c r="H29" s="16" t="s">
        <v>41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35">
        <v>4</v>
      </c>
      <c r="AF29" s="65"/>
      <c r="AG29" s="65"/>
      <c r="AH29" s="71"/>
      <c r="AI29" s="65"/>
      <c r="AJ29" s="65"/>
      <c r="AK29" s="65"/>
      <c r="AL29" s="72"/>
      <c r="AM29" s="71"/>
      <c r="AN29" s="71"/>
      <c r="AO29" s="72"/>
      <c r="AP29" s="72"/>
    </row>
    <row r="30" spans="1:42" ht="14.1" customHeight="1">
      <c r="A30" s="86" t="s">
        <v>71</v>
      </c>
      <c r="B30" s="13" t="str">
        <f t="shared" si="1"/>
        <v>X</v>
      </c>
      <c r="C30" s="14" t="s">
        <v>45</v>
      </c>
      <c r="D30" s="56" t="s">
        <v>75</v>
      </c>
      <c r="E30" s="57">
        <v>264</v>
      </c>
      <c r="F30" s="58">
        <v>8</v>
      </c>
      <c r="G30" s="57">
        <v>8</v>
      </c>
      <c r="H30" s="57" t="s">
        <v>65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35"/>
      <c r="AF30" s="65"/>
      <c r="AG30" s="65"/>
      <c r="AH30" s="71"/>
      <c r="AI30" s="65"/>
      <c r="AJ30" s="65"/>
      <c r="AK30" s="65"/>
      <c r="AL30" s="72">
        <v>8</v>
      </c>
      <c r="AM30" s="71"/>
      <c r="AN30" s="71"/>
      <c r="AO30" s="72"/>
      <c r="AP30" s="72"/>
    </row>
    <row r="31" spans="1:42" ht="14.1" customHeight="1">
      <c r="A31" s="86" t="s">
        <v>71</v>
      </c>
      <c r="B31" s="13" t="str">
        <f t="shared" si="1"/>
        <v>X</v>
      </c>
      <c r="C31" s="14" t="s">
        <v>45</v>
      </c>
      <c r="D31" s="56" t="s">
        <v>76</v>
      </c>
      <c r="E31" s="57">
        <v>99</v>
      </c>
      <c r="F31" s="58">
        <v>3</v>
      </c>
      <c r="G31" s="57">
        <v>3</v>
      </c>
      <c r="H31" s="57" t="s">
        <v>65</v>
      </c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35"/>
      <c r="AF31" s="65"/>
      <c r="AG31" s="65"/>
      <c r="AH31" s="71"/>
      <c r="AI31" s="65"/>
      <c r="AJ31" s="65"/>
      <c r="AK31" s="65"/>
      <c r="AL31" s="72"/>
      <c r="AM31" s="71"/>
      <c r="AN31" s="71">
        <v>3</v>
      </c>
      <c r="AO31" s="72"/>
      <c r="AP31" s="59"/>
    </row>
    <row r="32" spans="1:42" ht="14.1" customHeight="1">
      <c r="A32" s="86" t="s">
        <v>77</v>
      </c>
      <c r="B32" s="13" t="str">
        <f t="shared" si="1"/>
        <v>X</v>
      </c>
      <c r="C32" s="14" t="s">
        <v>53</v>
      </c>
      <c r="D32" s="87" t="s">
        <v>54</v>
      </c>
      <c r="E32" s="88">
        <v>120</v>
      </c>
      <c r="F32" s="89">
        <v>6</v>
      </c>
      <c r="G32" s="90">
        <v>3.64</v>
      </c>
      <c r="H32" s="91" t="s">
        <v>41</v>
      </c>
      <c r="I32" s="20"/>
      <c r="J32" s="20"/>
      <c r="K32" s="20"/>
      <c r="L32" s="20"/>
      <c r="M32" s="20"/>
      <c r="N32" s="20"/>
      <c r="O32" s="20"/>
      <c r="P32" s="20"/>
      <c r="Q32" s="20"/>
      <c r="R32" s="20">
        <v>3.64</v>
      </c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37"/>
      <c r="AF32" s="65"/>
      <c r="AG32" s="65"/>
      <c r="AH32" s="71"/>
      <c r="AI32" s="65"/>
      <c r="AJ32" s="65"/>
      <c r="AK32" s="65"/>
      <c r="AL32" s="72"/>
      <c r="AM32" s="71"/>
      <c r="AN32" s="71"/>
      <c r="AO32" s="72"/>
      <c r="AP32" s="59"/>
    </row>
    <row r="33" spans="1:42" ht="14.1" customHeight="1">
      <c r="A33" s="86" t="s">
        <v>77</v>
      </c>
      <c r="B33" s="13" t="str">
        <f t="shared" si="1"/>
        <v>X</v>
      </c>
      <c r="C33" s="14" t="s">
        <v>53</v>
      </c>
      <c r="D33" s="92" t="s">
        <v>55</v>
      </c>
      <c r="E33" s="88">
        <v>100</v>
      </c>
      <c r="F33" s="89">
        <v>5</v>
      </c>
      <c r="G33" s="90">
        <v>3.03</v>
      </c>
      <c r="H33" s="91" t="s">
        <v>41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>
        <v>3.03</v>
      </c>
      <c r="AB33" s="20"/>
      <c r="AC33" s="20"/>
      <c r="AD33" s="20"/>
      <c r="AE33" s="37"/>
      <c r="AF33" s="65"/>
      <c r="AG33" s="65"/>
      <c r="AH33" s="71"/>
      <c r="AI33" s="65"/>
      <c r="AJ33" s="65"/>
      <c r="AK33" s="65"/>
      <c r="AL33" s="72"/>
      <c r="AM33" s="71"/>
      <c r="AN33" s="71"/>
      <c r="AO33" s="72"/>
      <c r="AP33" s="59"/>
    </row>
    <row r="34" spans="1:42" ht="14.1" customHeight="1">
      <c r="A34" s="86" t="s">
        <v>77</v>
      </c>
      <c r="B34" s="13" t="str">
        <f t="shared" si="1"/>
        <v>X</v>
      </c>
      <c r="C34" s="14" t="s">
        <v>53</v>
      </c>
      <c r="D34" s="87" t="s">
        <v>57</v>
      </c>
      <c r="E34" s="88">
        <v>60</v>
      </c>
      <c r="F34" s="89">
        <v>3</v>
      </c>
      <c r="G34" s="90">
        <v>1.82</v>
      </c>
      <c r="H34" s="91" t="s">
        <v>41</v>
      </c>
      <c r="I34" s="20"/>
      <c r="J34" s="20"/>
      <c r="K34" s="20"/>
      <c r="L34" s="20"/>
      <c r="M34" s="20"/>
      <c r="N34" s="20"/>
      <c r="O34" s="20"/>
      <c r="P34" s="20">
        <v>1.82</v>
      </c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37"/>
      <c r="AF34" s="65"/>
      <c r="AG34" s="65"/>
      <c r="AH34" s="71"/>
      <c r="AI34" s="65"/>
      <c r="AJ34" s="65"/>
      <c r="AK34" s="65"/>
      <c r="AL34" s="72"/>
      <c r="AM34" s="71"/>
      <c r="AN34" s="71"/>
      <c r="AO34" s="72"/>
      <c r="AP34" s="59"/>
    </row>
    <row r="35" spans="1:42" ht="14.1" customHeight="1">
      <c r="A35" s="86" t="s">
        <v>77</v>
      </c>
      <c r="B35" s="13" t="str">
        <f t="shared" si="1"/>
        <v>X</v>
      </c>
      <c r="C35" s="14" t="s">
        <v>53</v>
      </c>
      <c r="D35" s="87" t="s">
        <v>58</v>
      </c>
      <c r="E35" s="88">
        <v>100</v>
      </c>
      <c r="F35" s="89">
        <v>5</v>
      </c>
      <c r="G35" s="90">
        <v>3.03</v>
      </c>
      <c r="H35" s="91" t="s">
        <v>41</v>
      </c>
      <c r="I35" s="20"/>
      <c r="J35" s="20"/>
      <c r="K35" s="20"/>
      <c r="L35" s="20"/>
      <c r="M35" s="20"/>
      <c r="N35" s="20"/>
      <c r="O35" s="20"/>
      <c r="P35" s="20"/>
      <c r="Q35" s="20"/>
      <c r="R35" s="20">
        <v>3.03</v>
      </c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37"/>
      <c r="AF35" s="65"/>
      <c r="AG35" s="65"/>
      <c r="AH35" s="71"/>
      <c r="AI35" s="65"/>
      <c r="AJ35" s="65"/>
      <c r="AK35" s="65"/>
      <c r="AL35" s="72"/>
      <c r="AM35" s="71"/>
      <c r="AN35" s="71"/>
      <c r="AO35" s="72"/>
      <c r="AP35" s="59"/>
    </row>
    <row r="36" spans="1:42" ht="14.1" customHeight="1">
      <c r="A36" s="86" t="s">
        <v>78</v>
      </c>
      <c r="B36" s="13" t="str">
        <f t="shared" si="1"/>
        <v>X</v>
      </c>
      <c r="C36" s="14"/>
      <c r="D36" s="93" t="s">
        <v>61</v>
      </c>
      <c r="E36" s="94">
        <v>50</v>
      </c>
      <c r="F36" s="95">
        <v>1.52</v>
      </c>
      <c r="G36" s="95">
        <v>1.52</v>
      </c>
      <c r="H36" s="96" t="s">
        <v>41</v>
      </c>
      <c r="I36" s="43"/>
      <c r="J36" s="43"/>
      <c r="K36" s="43"/>
      <c r="L36" s="43"/>
      <c r="M36" s="43"/>
      <c r="N36" s="43"/>
      <c r="O36" s="43"/>
      <c r="P36" s="43"/>
      <c r="Q36" s="43"/>
      <c r="R36" s="43">
        <v>1.52</v>
      </c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ht="14.1" customHeight="1">
      <c r="A37" s="86" t="s">
        <v>78</v>
      </c>
      <c r="B37" s="13" t="str">
        <f t="shared" si="1"/>
        <v>X</v>
      </c>
      <c r="C37" s="14"/>
      <c r="D37" s="93" t="s">
        <v>62</v>
      </c>
      <c r="E37" s="94"/>
      <c r="F37" s="97">
        <v>1.5</v>
      </c>
      <c r="G37" s="97">
        <v>1.5</v>
      </c>
      <c r="H37" s="96" t="s">
        <v>41</v>
      </c>
      <c r="I37" s="43">
        <v>1.5</v>
      </c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ht="14.1" customHeight="1">
      <c r="A38" s="86" t="s">
        <v>78</v>
      </c>
      <c r="B38" s="13" t="str">
        <f t="shared" si="1"/>
        <v>X</v>
      </c>
      <c r="C38" s="14"/>
      <c r="D38" s="93" t="s">
        <v>62</v>
      </c>
      <c r="E38" s="94"/>
      <c r="F38" s="97">
        <v>1.5</v>
      </c>
      <c r="G38" s="97">
        <v>1.5</v>
      </c>
      <c r="H38" s="96" t="s">
        <v>41</v>
      </c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>
        <v>1.5</v>
      </c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ht="14.1" customHeight="1">
      <c r="A39" s="86" t="s">
        <v>78</v>
      </c>
      <c r="B39" s="13" t="str">
        <f t="shared" si="1"/>
        <v>X</v>
      </c>
      <c r="C39" s="14"/>
      <c r="D39" s="93" t="s">
        <v>62</v>
      </c>
      <c r="E39" s="98"/>
      <c r="F39" s="99">
        <v>1.85</v>
      </c>
      <c r="G39" s="94">
        <v>1.85</v>
      </c>
      <c r="H39" s="100" t="s">
        <v>41</v>
      </c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72"/>
      <c r="AP39" s="101">
        <v>1.85</v>
      </c>
    </row>
    <row r="40" spans="1:42" ht="14.1" customHeight="1">
      <c r="A40" s="86" t="s">
        <v>77</v>
      </c>
      <c r="B40" s="13" t="str">
        <f t="shared" si="1"/>
        <v>X</v>
      </c>
      <c r="C40" s="14" t="s">
        <v>53</v>
      </c>
      <c r="D40" s="102" t="s">
        <v>68</v>
      </c>
      <c r="E40" s="103">
        <v>120</v>
      </c>
      <c r="F40" s="104">
        <v>6</v>
      </c>
      <c r="G40" s="105">
        <v>3.64</v>
      </c>
      <c r="H40" s="106" t="s">
        <v>65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37"/>
      <c r="AF40" s="65"/>
      <c r="AG40" s="65"/>
      <c r="AH40" s="71"/>
      <c r="AI40" s="65"/>
      <c r="AJ40" s="65"/>
      <c r="AK40" s="65"/>
      <c r="AL40" s="72">
        <v>3.64</v>
      </c>
      <c r="AM40" s="71"/>
      <c r="AN40" s="71"/>
      <c r="AO40" s="72"/>
      <c r="AP40" s="59"/>
    </row>
    <row r="41" spans="1:42" ht="14.1" customHeight="1">
      <c r="A41" s="73"/>
      <c r="B41" s="74"/>
      <c r="C41" s="75"/>
      <c r="D41" s="76"/>
      <c r="E41" s="77"/>
      <c r="F41" s="78"/>
      <c r="G41" s="79"/>
      <c r="H41" s="79"/>
      <c r="I41" s="80"/>
      <c r="J41" s="80"/>
      <c r="K41" s="80"/>
      <c r="L41" s="80"/>
      <c r="M41" s="80"/>
      <c r="N41" s="81"/>
      <c r="O41" s="80"/>
      <c r="P41" s="80"/>
      <c r="Q41" s="80"/>
      <c r="R41" s="80"/>
      <c r="S41" s="80"/>
      <c r="T41" s="81"/>
      <c r="U41" s="80"/>
      <c r="V41" s="80"/>
      <c r="W41" s="80"/>
      <c r="X41" s="81"/>
      <c r="Y41" s="81"/>
      <c r="Z41" s="81"/>
      <c r="AA41" s="81"/>
      <c r="AB41" s="81"/>
      <c r="AC41" s="81"/>
      <c r="AD41" s="81"/>
      <c r="AE41" s="107"/>
      <c r="AF41" s="82"/>
      <c r="AG41" s="82"/>
      <c r="AH41" s="83"/>
      <c r="AI41" s="82"/>
      <c r="AJ41" s="82"/>
      <c r="AK41" s="82"/>
      <c r="AL41" s="84"/>
      <c r="AM41" s="83"/>
      <c r="AN41" s="83"/>
      <c r="AO41" s="84"/>
      <c r="AP41" s="85"/>
    </row>
    <row r="42" spans="1:42" ht="14.1" customHeight="1">
      <c r="A42" s="86" t="s">
        <v>79</v>
      </c>
      <c r="B42" s="13" t="str">
        <f t="shared" ref="B42:B58" si="2">IF(SUM(I42:AP42)=G42,"X","")</f>
        <v>X</v>
      </c>
      <c r="C42" s="14" t="s">
        <v>80</v>
      </c>
      <c r="D42" s="33" t="s">
        <v>81</v>
      </c>
      <c r="E42" s="16">
        <v>198</v>
      </c>
      <c r="F42" s="17">
        <v>6</v>
      </c>
      <c r="G42" s="16">
        <v>6</v>
      </c>
      <c r="H42" s="16" t="s">
        <v>41</v>
      </c>
      <c r="I42" s="108"/>
      <c r="J42" s="108"/>
      <c r="K42" s="108"/>
      <c r="L42" s="108"/>
      <c r="M42" s="108"/>
      <c r="N42" s="108"/>
      <c r="O42" s="108"/>
      <c r="P42" s="108">
        <v>6</v>
      </c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9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</row>
    <row r="43" spans="1:42" ht="14.1" customHeight="1">
      <c r="A43" s="86" t="s">
        <v>79</v>
      </c>
      <c r="B43" s="13" t="str">
        <f t="shared" si="2"/>
        <v>X</v>
      </c>
      <c r="C43" s="14" t="s">
        <v>82</v>
      </c>
      <c r="D43" s="110" t="s">
        <v>83</v>
      </c>
      <c r="E43" s="111">
        <v>264</v>
      </c>
      <c r="F43" s="112">
        <v>8</v>
      </c>
      <c r="G43" s="111">
        <v>8</v>
      </c>
      <c r="H43" s="111" t="s">
        <v>47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>
        <v>8</v>
      </c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4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</row>
    <row r="44" spans="1:42" ht="14.1" customHeight="1">
      <c r="A44" s="86" t="s">
        <v>79</v>
      </c>
      <c r="B44" s="13" t="str">
        <f t="shared" si="2"/>
        <v>X</v>
      </c>
      <c r="C44" s="14" t="s">
        <v>80</v>
      </c>
      <c r="D44" s="33" t="s">
        <v>84</v>
      </c>
      <c r="E44" s="16">
        <v>264</v>
      </c>
      <c r="F44" s="17">
        <v>8</v>
      </c>
      <c r="G44" s="16">
        <v>8</v>
      </c>
      <c r="H44" s="16" t="s">
        <v>41</v>
      </c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>
        <v>8</v>
      </c>
      <c r="W44" s="108"/>
      <c r="X44" s="108"/>
      <c r="Y44" s="108"/>
      <c r="Z44" s="108"/>
      <c r="AA44" s="108"/>
      <c r="AB44" s="108"/>
      <c r="AC44" s="108"/>
      <c r="AD44" s="108"/>
      <c r="AE44" s="11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</row>
    <row r="45" spans="1:42" ht="14.1" customHeight="1">
      <c r="A45" s="86" t="s">
        <v>79</v>
      </c>
      <c r="B45" s="13" t="str">
        <f t="shared" si="2"/>
        <v>X</v>
      </c>
      <c r="C45" s="14" t="s">
        <v>80</v>
      </c>
      <c r="D45" s="33" t="s">
        <v>85</v>
      </c>
      <c r="E45" s="16">
        <v>132</v>
      </c>
      <c r="F45" s="17">
        <v>4</v>
      </c>
      <c r="G45" s="16">
        <v>4</v>
      </c>
      <c r="H45" s="16" t="s">
        <v>41</v>
      </c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6"/>
      <c r="AC45" s="108">
        <v>4</v>
      </c>
      <c r="AD45" s="108"/>
      <c r="AE45" s="11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</row>
    <row r="46" spans="1:42" ht="14.1" customHeight="1">
      <c r="A46" s="86" t="s">
        <v>79</v>
      </c>
      <c r="B46" s="13" t="str">
        <f t="shared" si="2"/>
        <v>X</v>
      </c>
      <c r="C46" s="14" t="s">
        <v>82</v>
      </c>
      <c r="D46" s="117" t="s">
        <v>86</v>
      </c>
      <c r="E46" s="117">
        <v>132</v>
      </c>
      <c r="F46" s="117">
        <v>4</v>
      </c>
      <c r="G46" s="117">
        <v>4</v>
      </c>
      <c r="H46" s="117" t="s">
        <v>47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>
        <v>4</v>
      </c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8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</row>
    <row r="47" spans="1:42" ht="14.1" customHeight="1">
      <c r="A47" s="86" t="s">
        <v>79</v>
      </c>
      <c r="B47" s="13" t="str">
        <f t="shared" si="2"/>
        <v>X</v>
      </c>
      <c r="C47" s="14" t="s">
        <v>80</v>
      </c>
      <c r="D47" s="33" t="s">
        <v>87</v>
      </c>
      <c r="E47" s="16">
        <v>99</v>
      </c>
      <c r="F47" s="17">
        <v>3</v>
      </c>
      <c r="G47" s="16">
        <v>3</v>
      </c>
      <c r="H47" s="16" t="s">
        <v>41</v>
      </c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>
        <v>3</v>
      </c>
      <c r="AC47" s="108"/>
      <c r="AD47" s="108"/>
      <c r="AE47" s="109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</row>
    <row r="48" spans="1:42" ht="14.1" customHeight="1">
      <c r="A48" s="86" t="s">
        <v>79</v>
      </c>
      <c r="B48" s="13" t="str">
        <f t="shared" si="2"/>
        <v>X</v>
      </c>
      <c r="C48" s="14" t="s">
        <v>82</v>
      </c>
      <c r="D48" s="117" t="s">
        <v>88</v>
      </c>
      <c r="E48" s="111">
        <v>99</v>
      </c>
      <c r="F48" s="112">
        <v>3</v>
      </c>
      <c r="G48" s="111">
        <v>3</v>
      </c>
      <c r="H48" s="111" t="s">
        <v>47</v>
      </c>
      <c r="I48" s="108"/>
      <c r="J48" s="108"/>
      <c r="K48" s="108"/>
      <c r="L48" s="108"/>
      <c r="M48" s="108"/>
      <c r="N48" s="115"/>
      <c r="O48" s="108"/>
      <c r="P48" s="108"/>
      <c r="Q48" s="108"/>
      <c r="R48" s="108"/>
      <c r="S48" s="108">
        <v>3</v>
      </c>
      <c r="T48" s="115"/>
      <c r="U48" s="108"/>
      <c r="V48" s="108"/>
      <c r="W48" s="108"/>
      <c r="X48" s="115"/>
      <c r="Y48" s="115"/>
      <c r="Z48" s="115"/>
      <c r="AA48" s="115"/>
      <c r="AB48" s="115"/>
      <c r="AC48" s="115"/>
      <c r="AD48" s="115"/>
      <c r="AE48" s="11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</row>
    <row r="49" spans="1:42" ht="14.1" customHeight="1">
      <c r="A49" s="86" t="s">
        <v>89</v>
      </c>
      <c r="B49" s="13" t="str">
        <f t="shared" si="2"/>
        <v>X</v>
      </c>
      <c r="C49" s="14" t="s">
        <v>90</v>
      </c>
      <c r="D49" s="33" t="s">
        <v>91</v>
      </c>
      <c r="E49" s="16">
        <v>120</v>
      </c>
      <c r="F49" s="17">
        <v>6</v>
      </c>
      <c r="G49" s="34">
        <v>3.64</v>
      </c>
      <c r="H49" s="34" t="s">
        <v>41</v>
      </c>
      <c r="I49" s="108"/>
      <c r="J49" s="108"/>
      <c r="K49" s="108"/>
      <c r="L49" s="108"/>
      <c r="M49" s="108"/>
      <c r="N49" s="115"/>
      <c r="O49" s="108"/>
      <c r="P49" s="108"/>
      <c r="Q49" s="108"/>
      <c r="R49" s="108"/>
      <c r="S49" s="108"/>
      <c r="T49" s="115"/>
      <c r="U49" s="108"/>
      <c r="V49" s="108"/>
      <c r="W49" s="108"/>
      <c r="X49" s="115"/>
      <c r="Y49" s="115"/>
      <c r="Z49" s="115"/>
      <c r="AA49" s="115"/>
      <c r="AB49" s="115">
        <v>3.64</v>
      </c>
      <c r="AC49" s="115"/>
      <c r="AD49" s="115"/>
      <c r="AE49" s="11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</row>
    <row r="50" spans="1:42" ht="14.1" customHeight="1">
      <c r="A50" s="86" t="s">
        <v>89</v>
      </c>
      <c r="B50" s="13" t="str">
        <f t="shared" si="2"/>
        <v>X</v>
      </c>
      <c r="C50" s="14" t="s">
        <v>69</v>
      </c>
      <c r="D50" s="117" t="s">
        <v>92</v>
      </c>
      <c r="E50" s="117">
        <v>120</v>
      </c>
      <c r="F50" s="117">
        <v>6</v>
      </c>
      <c r="G50" s="117">
        <v>3.6</v>
      </c>
      <c r="H50" s="117" t="s">
        <v>47</v>
      </c>
      <c r="I50" s="108"/>
      <c r="J50" s="108"/>
      <c r="K50" s="108"/>
      <c r="L50" s="108"/>
      <c r="M50" s="108"/>
      <c r="N50" s="115"/>
      <c r="O50" s="108"/>
      <c r="P50" s="108"/>
      <c r="Q50" s="108"/>
      <c r="R50" s="108"/>
      <c r="S50" s="113"/>
      <c r="T50" s="115"/>
      <c r="U50" s="108"/>
      <c r="V50" s="113"/>
      <c r="W50" s="108"/>
      <c r="X50" s="115"/>
      <c r="Y50" s="115"/>
      <c r="Z50" s="115"/>
      <c r="AA50" s="115"/>
      <c r="AB50" s="115"/>
      <c r="AC50" s="115"/>
      <c r="AD50" s="115">
        <v>3.6</v>
      </c>
      <c r="AE50" s="11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</row>
    <row r="51" spans="1:42" ht="14.1" customHeight="1">
      <c r="A51" s="86" t="s">
        <v>89</v>
      </c>
      <c r="B51" s="13" t="str">
        <f t="shared" si="2"/>
        <v>X</v>
      </c>
      <c r="C51" s="14" t="s">
        <v>90</v>
      </c>
      <c r="D51" s="119" t="s">
        <v>93</v>
      </c>
      <c r="E51" s="16">
        <v>100</v>
      </c>
      <c r="F51" s="17">
        <v>5</v>
      </c>
      <c r="G51" s="34">
        <v>3.03</v>
      </c>
      <c r="H51" s="34" t="s">
        <v>41</v>
      </c>
      <c r="I51" s="108"/>
      <c r="J51" s="108"/>
      <c r="K51" s="108"/>
      <c r="L51" s="108"/>
      <c r="M51" s="108"/>
      <c r="N51" s="115"/>
      <c r="O51" s="108"/>
      <c r="P51" s="108"/>
      <c r="Q51" s="108"/>
      <c r="R51" s="108"/>
      <c r="S51" s="108"/>
      <c r="T51" s="115"/>
      <c r="U51" s="108"/>
      <c r="V51" s="108"/>
      <c r="W51" s="108"/>
      <c r="X51" s="115"/>
      <c r="Y51" s="115">
        <v>3.03</v>
      </c>
      <c r="Z51" s="115"/>
      <c r="AA51" s="115"/>
      <c r="AB51" s="115"/>
      <c r="AC51" s="115"/>
      <c r="AD51" s="115"/>
      <c r="AE51" s="109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</row>
    <row r="52" spans="1:42" ht="14.1" customHeight="1">
      <c r="A52" s="86" t="s">
        <v>89</v>
      </c>
      <c r="B52" s="13" t="str">
        <f t="shared" si="2"/>
        <v>X</v>
      </c>
      <c r="C52" s="14">
        <v>13</v>
      </c>
      <c r="D52" s="121" t="s">
        <v>94</v>
      </c>
      <c r="E52" s="16">
        <v>80</v>
      </c>
      <c r="F52" s="17">
        <v>4</v>
      </c>
      <c r="G52" s="34">
        <v>2.4</v>
      </c>
      <c r="H52" s="34" t="s">
        <v>41</v>
      </c>
      <c r="I52" s="108"/>
      <c r="J52" s="108"/>
      <c r="K52" s="108"/>
      <c r="L52" s="108"/>
      <c r="M52" s="108"/>
      <c r="N52" s="115"/>
      <c r="O52" s="108"/>
      <c r="P52" s="108"/>
      <c r="Q52" s="108"/>
      <c r="R52" s="108"/>
      <c r="S52" s="108"/>
      <c r="T52" s="115"/>
      <c r="U52" s="108"/>
      <c r="V52" s="108"/>
      <c r="W52" s="108"/>
      <c r="X52" s="115"/>
      <c r="Y52" s="115"/>
      <c r="Z52" s="115"/>
      <c r="AA52" s="115"/>
      <c r="AB52" s="115"/>
      <c r="AC52" s="115">
        <v>2.4</v>
      </c>
      <c r="AD52" s="115"/>
      <c r="AE52" s="109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</row>
    <row r="53" spans="1:42" ht="13.5" customHeight="1">
      <c r="A53" s="86" t="s">
        <v>95</v>
      </c>
      <c r="B53" s="13" t="str">
        <f t="shared" si="2"/>
        <v>X</v>
      </c>
      <c r="C53" s="14"/>
      <c r="D53" s="40" t="s">
        <v>61</v>
      </c>
      <c r="E53" s="41">
        <v>50</v>
      </c>
      <c r="F53" s="42">
        <v>1.52</v>
      </c>
      <c r="G53" s="42">
        <v>1.52</v>
      </c>
      <c r="H53" s="42" t="s">
        <v>41</v>
      </c>
      <c r="I53" s="49"/>
      <c r="J53" s="43"/>
      <c r="K53" s="43"/>
      <c r="L53" s="43"/>
      <c r="M53" s="44"/>
      <c r="N53" s="44"/>
      <c r="O53" s="43"/>
      <c r="P53" s="43">
        <v>1.52</v>
      </c>
      <c r="Q53" s="43"/>
      <c r="R53" s="43"/>
      <c r="S53" s="43"/>
      <c r="T53" s="44"/>
      <c r="U53" s="43"/>
      <c r="V53" s="43"/>
      <c r="W53" s="43"/>
      <c r="X53" s="44"/>
      <c r="Y53" s="44"/>
      <c r="Z53" s="44"/>
      <c r="AA53" s="44"/>
      <c r="AB53" s="44"/>
      <c r="AC53" s="44"/>
      <c r="AD53" s="44"/>
      <c r="AE53" s="44"/>
      <c r="AF53" s="46"/>
      <c r="AG53" s="122"/>
      <c r="AH53" s="46"/>
      <c r="AI53" s="46"/>
      <c r="AJ53" s="46"/>
      <c r="AK53" s="46"/>
      <c r="AL53" s="46"/>
      <c r="AM53" s="48"/>
      <c r="AN53" s="48"/>
      <c r="AO53" s="46"/>
      <c r="AP53" s="46"/>
    </row>
    <row r="54" spans="1:42" ht="13.5" customHeight="1">
      <c r="A54" s="86" t="s">
        <v>95</v>
      </c>
      <c r="B54" s="13" t="str">
        <f t="shared" si="2"/>
        <v>X</v>
      </c>
      <c r="C54" s="14"/>
      <c r="D54" s="40" t="s">
        <v>62</v>
      </c>
      <c r="E54" s="41"/>
      <c r="F54" s="42">
        <v>3.85</v>
      </c>
      <c r="G54" s="42">
        <v>3.85</v>
      </c>
      <c r="H54" s="42" t="s">
        <v>47</v>
      </c>
      <c r="I54" s="49"/>
      <c r="J54" s="43"/>
      <c r="K54" s="43"/>
      <c r="L54" s="43"/>
      <c r="M54" s="44"/>
      <c r="N54" s="44"/>
      <c r="O54" s="43"/>
      <c r="P54" s="43"/>
      <c r="Q54" s="43"/>
      <c r="R54" s="43"/>
      <c r="S54" s="43">
        <v>3.85</v>
      </c>
      <c r="T54" s="44"/>
      <c r="U54" s="43"/>
      <c r="V54" s="43"/>
      <c r="W54" s="43"/>
      <c r="X54" s="44"/>
      <c r="Y54" s="44"/>
      <c r="Z54" s="44"/>
      <c r="AA54" s="44"/>
      <c r="AB54" s="44"/>
      <c r="AC54" s="44"/>
      <c r="AD54" s="44"/>
      <c r="AE54" s="44"/>
      <c r="AF54" s="46"/>
      <c r="AG54" s="46"/>
      <c r="AH54" s="46"/>
      <c r="AI54" s="46"/>
      <c r="AJ54" s="46"/>
      <c r="AK54" s="46"/>
      <c r="AL54" s="46"/>
      <c r="AM54" s="48"/>
      <c r="AN54" s="48"/>
      <c r="AO54" s="46"/>
      <c r="AP54" s="46"/>
    </row>
    <row r="55" spans="1:42" ht="14.1" customHeight="1">
      <c r="A55" s="86" t="s">
        <v>95</v>
      </c>
      <c r="B55" s="13" t="str">
        <f t="shared" si="2"/>
        <v>X</v>
      </c>
      <c r="C55" s="14"/>
      <c r="D55" s="40" t="s">
        <v>62</v>
      </c>
      <c r="E55" s="50"/>
      <c r="F55" s="50">
        <v>1</v>
      </c>
      <c r="G55" s="41">
        <v>1</v>
      </c>
      <c r="H55" s="41" t="s">
        <v>47</v>
      </c>
      <c r="I55" s="51"/>
      <c r="J55" s="49"/>
      <c r="K55" s="51"/>
      <c r="L55" s="51"/>
      <c r="M55" s="52"/>
      <c r="N55" s="52"/>
      <c r="O55" s="51"/>
      <c r="P55" s="51"/>
      <c r="Q55" s="51"/>
      <c r="R55" s="51"/>
      <c r="S55" s="51"/>
      <c r="T55" s="44"/>
      <c r="U55" s="51"/>
      <c r="V55" s="51"/>
      <c r="W55" s="43"/>
      <c r="X55" s="52"/>
      <c r="Y55" s="52"/>
      <c r="Z55" s="52"/>
      <c r="AA55" s="44"/>
      <c r="AB55" s="44"/>
      <c r="AC55" s="44"/>
      <c r="AD55" s="44"/>
      <c r="AE55" s="44"/>
      <c r="AF55" s="53"/>
      <c r="AG55" s="53"/>
      <c r="AH55" s="53"/>
      <c r="AI55" s="53"/>
      <c r="AJ55" s="53"/>
      <c r="AK55" s="53"/>
      <c r="AL55" s="53"/>
      <c r="AM55" s="123"/>
      <c r="AN55" s="123">
        <v>1</v>
      </c>
      <c r="AO55" s="53"/>
      <c r="AP55" s="46"/>
    </row>
    <row r="56" spans="1:42" ht="14.1" customHeight="1">
      <c r="A56" s="86" t="s">
        <v>79</v>
      </c>
      <c r="B56" s="13" t="str">
        <f t="shared" si="2"/>
        <v>X</v>
      </c>
      <c r="C56" s="14">
        <v>14</v>
      </c>
      <c r="D56" s="124" t="s">
        <v>96</v>
      </c>
      <c r="E56" s="57">
        <v>165</v>
      </c>
      <c r="F56" s="58">
        <v>5</v>
      </c>
      <c r="G56" s="57">
        <v>5</v>
      </c>
      <c r="H56" s="57" t="s">
        <v>65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8"/>
      <c r="AF56" s="125"/>
      <c r="AG56" s="125"/>
      <c r="AH56" s="59">
        <v>5</v>
      </c>
      <c r="AI56" s="59"/>
      <c r="AJ56" s="59"/>
      <c r="AK56" s="59"/>
      <c r="AL56" s="59"/>
      <c r="AM56" s="60"/>
      <c r="AN56" s="60"/>
      <c r="AO56" s="59"/>
      <c r="AP56" s="59"/>
    </row>
    <row r="57" spans="1:42" ht="14.1" customHeight="1">
      <c r="A57" s="86" t="s">
        <v>89</v>
      </c>
      <c r="B57" s="13" t="str">
        <f t="shared" si="2"/>
        <v>X</v>
      </c>
      <c r="C57" s="14">
        <v>13</v>
      </c>
      <c r="D57" s="124" t="s">
        <v>97</v>
      </c>
      <c r="E57" s="57">
        <v>140</v>
      </c>
      <c r="F57" s="58">
        <v>7</v>
      </c>
      <c r="G57" s="64">
        <v>4.24</v>
      </c>
      <c r="H57" s="64" t="s">
        <v>65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8"/>
      <c r="AF57" s="65"/>
      <c r="AG57" s="65">
        <v>4.24</v>
      </c>
      <c r="AH57" s="65"/>
      <c r="AI57" s="65"/>
      <c r="AJ57" s="65"/>
      <c r="AK57" s="65"/>
      <c r="AL57" s="65"/>
      <c r="AM57" s="66"/>
      <c r="AN57" s="66"/>
      <c r="AO57" s="65"/>
      <c r="AP57" s="59"/>
    </row>
    <row r="58" spans="1:42" ht="14.1" customHeight="1">
      <c r="A58" s="86" t="s">
        <v>89</v>
      </c>
      <c r="B58" s="13" t="str">
        <f t="shared" si="2"/>
        <v>X</v>
      </c>
      <c r="C58" s="14">
        <v>106</v>
      </c>
      <c r="D58" s="67" t="s">
        <v>98</v>
      </c>
      <c r="E58" s="68">
        <v>140</v>
      </c>
      <c r="F58" s="68">
        <v>7</v>
      </c>
      <c r="G58" s="70">
        <v>4.24</v>
      </c>
      <c r="H58" s="70" t="s">
        <v>63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4"/>
      <c r="AF58" s="65"/>
      <c r="AG58" s="65"/>
      <c r="AH58" s="65"/>
      <c r="AI58" s="65"/>
      <c r="AJ58" s="65">
        <v>4.24</v>
      </c>
      <c r="AK58" s="65"/>
      <c r="AL58" s="72"/>
      <c r="AM58" s="71"/>
      <c r="AN58" s="71"/>
      <c r="AO58" s="72"/>
      <c r="AP58" s="59"/>
    </row>
    <row r="59" spans="1:42" ht="14.1" customHeight="1">
      <c r="A59" s="86" t="s">
        <v>89</v>
      </c>
      <c r="B59" s="13" t="str">
        <f>IF(SUM(I59:AO59)=G59,"X","")</f>
        <v>X</v>
      </c>
      <c r="C59" s="14">
        <v>13</v>
      </c>
      <c r="D59" s="126" t="s">
        <v>99</v>
      </c>
      <c r="E59" s="57">
        <v>100</v>
      </c>
      <c r="F59" s="58">
        <v>5</v>
      </c>
      <c r="G59" s="64">
        <v>3.03</v>
      </c>
      <c r="H59" s="64" t="s">
        <v>65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4"/>
      <c r="AF59" s="65"/>
      <c r="AG59" s="65">
        <v>3.03</v>
      </c>
      <c r="AH59" s="65"/>
      <c r="AI59" s="65"/>
      <c r="AJ59" s="65"/>
      <c r="AK59" s="65"/>
      <c r="AL59" s="65"/>
      <c r="AM59" s="66"/>
      <c r="AN59" s="66"/>
      <c r="AO59" s="65"/>
    </row>
    <row r="60" spans="1:42" ht="14.1" customHeight="1">
      <c r="A60" s="86" t="s">
        <v>89</v>
      </c>
      <c r="B60" s="13" t="str">
        <f>IF(SUM(I60:AP60)=G60,"X","")</f>
        <v>X</v>
      </c>
      <c r="C60" s="14">
        <v>106</v>
      </c>
      <c r="D60" s="67" t="s">
        <v>100</v>
      </c>
      <c r="E60" s="68">
        <v>100</v>
      </c>
      <c r="F60" s="68">
        <v>5</v>
      </c>
      <c r="G60" s="70">
        <v>3.03</v>
      </c>
      <c r="H60" s="70" t="s">
        <v>63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4"/>
      <c r="AF60" s="65"/>
      <c r="AG60" s="65"/>
      <c r="AH60" s="65"/>
      <c r="AI60" s="65"/>
      <c r="AJ60" s="65">
        <v>3.03</v>
      </c>
      <c r="AK60" s="65"/>
      <c r="AL60" s="72"/>
      <c r="AM60" s="10"/>
      <c r="AN60" s="10"/>
      <c r="AO60" s="72"/>
      <c r="AP60" s="65"/>
    </row>
    <row r="61" spans="1:42" ht="14.1" customHeight="1">
      <c r="A61" s="127"/>
      <c r="B61" s="74"/>
      <c r="C61" s="75"/>
      <c r="D61" s="76"/>
      <c r="E61" s="77"/>
      <c r="F61" s="77"/>
      <c r="G61" s="79"/>
      <c r="H61" s="79"/>
      <c r="I61" s="128"/>
      <c r="J61" s="128"/>
      <c r="K61" s="128"/>
      <c r="L61" s="128"/>
      <c r="M61" s="128"/>
      <c r="N61" s="129"/>
      <c r="O61" s="128"/>
      <c r="P61" s="128"/>
      <c r="Q61" s="128"/>
      <c r="R61" s="128"/>
      <c r="S61" s="128"/>
      <c r="T61" s="129"/>
      <c r="U61" s="128"/>
      <c r="V61" s="128"/>
      <c r="W61" s="128"/>
      <c r="X61" s="129"/>
      <c r="Y61" s="129"/>
      <c r="Z61" s="129"/>
      <c r="AA61" s="129"/>
      <c r="AB61" s="129"/>
      <c r="AC61" s="129"/>
      <c r="AD61" s="129"/>
      <c r="AE61" s="130"/>
      <c r="AF61" s="82"/>
      <c r="AG61" s="82"/>
      <c r="AH61" s="82"/>
      <c r="AI61" s="82"/>
      <c r="AJ61" s="82"/>
      <c r="AK61" s="82"/>
      <c r="AL61" s="84"/>
      <c r="AM61" s="131"/>
      <c r="AN61" s="131"/>
      <c r="AO61" s="84"/>
      <c r="AP61" s="132"/>
    </row>
    <row r="62" spans="1:42" ht="14.1" customHeight="1">
      <c r="A62" s="86" t="s">
        <v>101</v>
      </c>
      <c r="B62" s="13" t="str">
        <f t="shared" ref="B62:B67" si="3">IF(SUM(I62:AP62)=G62,"X","")</f>
        <v>X</v>
      </c>
      <c r="C62" s="203" t="s">
        <v>102</v>
      </c>
      <c r="D62" s="33" t="s">
        <v>81</v>
      </c>
      <c r="E62" s="16">
        <v>198</v>
      </c>
      <c r="F62" s="17">
        <v>6</v>
      </c>
      <c r="G62" s="16">
        <v>6</v>
      </c>
      <c r="H62" s="16" t="s">
        <v>41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X62" s="113"/>
      <c r="Y62" s="113"/>
      <c r="Z62" s="113">
        <v>6</v>
      </c>
      <c r="AA62" s="113"/>
      <c r="AB62" s="113"/>
      <c r="AC62" s="113"/>
      <c r="AD62" s="113"/>
      <c r="AE62" s="118"/>
      <c r="AF62" s="65"/>
      <c r="AG62" s="65"/>
      <c r="AH62" s="65"/>
      <c r="AI62" s="65"/>
      <c r="AJ62" s="65"/>
      <c r="AK62" s="65"/>
      <c r="AL62" s="72"/>
      <c r="AM62" s="134"/>
      <c r="AN62" s="134"/>
      <c r="AO62" s="72"/>
      <c r="AP62" s="59"/>
    </row>
    <row r="63" spans="1:42" ht="14.1" customHeight="1">
      <c r="A63" s="86" t="s">
        <v>101</v>
      </c>
      <c r="B63" s="13" t="str">
        <f t="shared" si="3"/>
        <v>X</v>
      </c>
      <c r="C63" s="203" t="s">
        <v>102</v>
      </c>
      <c r="D63" s="33" t="s">
        <v>84</v>
      </c>
      <c r="E63" s="16">
        <v>264</v>
      </c>
      <c r="F63" s="17">
        <v>8</v>
      </c>
      <c r="G63" s="16">
        <v>8</v>
      </c>
      <c r="H63" s="16" t="s">
        <v>41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>
        <v>8</v>
      </c>
      <c r="W63" s="113"/>
      <c r="X63" s="113"/>
      <c r="Y63" s="113"/>
      <c r="Z63" s="113"/>
      <c r="AA63" s="113"/>
      <c r="AB63" s="113"/>
      <c r="AC63" s="113"/>
      <c r="AD63" s="113"/>
      <c r="AE63" s="114"/>
      <c r="AF63" s="65"/>
      <c r="AG63" s="65"/>
      <c r="AH63" s="65"/>
      <c r="AI63" s="65"/>
      <c r="AJ63" s="65"/>
      <c r="AK63" s="65"/>
      <c r="AL63" s="72"/>
      <c r="AM63" s="134"/>
      <c r="AN63" s="134"/>
      <c r="AO63" s="72"/>
      <c r="AP63" s="59"/>
    </row>
    <row r="64" spans="1:42" ht="14.1" customHeight="1">
      <c r="A64" s="86" t="s">
        <v>101</v>
      </c>
      <c r="B64" s="13" t="str">
        <f t="shared" si="3"/>
        <v>X</v>
      </c>
      <c r="C64" s="203" t="s">
        <v>102</v>
      </c>
      <c r="D64" s="33" t="s">
        <v>85</v>
      </c>
      <c r="E64" s="16">
        <v>132</v>
      </c>
      <c r="F64" s="17">
        <v>4</v>
      </c>
      <c r="G64" s="16">
        <v>4</v>
      </c>
      <c r="H64" s="16" t="s">
        <v>41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>
        <v>4</v>
      </c>
      <c r="AC64" s="113"/>
      <c r="AD64" s="113"/>
      <c r="AE64" s="114"/>
      <c r="AF64" s="65"/>
      <c r="AG64" s="65"/>
      <c r="AH64" s="65"/>
      <c r="AI64" s="65"/>
      <c r="AJ64" s="65"/>
      <c r="AK64" s="65"/>
      <c r="AL64" s="72"/>
      <c r="AM64" s="134"/>
      <c r="AN64" s="134"/>
      <c r="AO64" s="72"/>
      <c r="AP64" s="59"/>
    </row>
    <row r="65" spans="1:42" ht="14.1" customHeight="1">
      <c r="A65" s="86" t="s">
        <v>101</v>
      </c>
      <c r="B65" s="13" t="str">
        <f t="shared" si="3"/>
        <v>X</v>
      </c>
      <c r="C65" s="203" t="s">
        <v>102</v>
      </c>
      <c r="D65" s="33" t="s">
        <v>87</v>
      </c>
      <c r="E65" s="16">
        <v>99</v>
      </c>
      <c r="F65" s="17">
        <v>3</v>
      </c>
      <c r="G65" s="16">
        <v>3</v>
      </c>
      <c r="H65" s="16" t="s">
        <v>41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4">
        <v>3</v>
      </c>
      <c r="AF65" s="65"/>
      <c r="AG65" s="65"/>
      <c r="AH65" s="65"/>
      <c r="AI65" s="65"/>
      <c r="AJ65" s="65"/>
      <c r="AK65" s="65"/>
      <c r="AL65" s="72"/>
      <c r="AM65" s="134"/>
      <c r="AN65" s="134"/>
      <c r="AO65" s="72"/>
      <c r="AP65" s="59"/>
    </row>
    <row r="66" spans="1:42" ht="14.1" customHeight="1">
      <c r="A66" s="86" t="s">
        <v>101</v>
      </c>
      <c r="B66" s="13" t="str">
        <f t="shared" si="3"/>
        <v>X</v>
      </c>
      <c r="C66" s="203" t="s">
        <v>102</v>
      </c>
      <c r="D66" s="124" t="s">
        <v>96</v>
      </c>
      <c r="E66" s="57">
        <v>165</v>
      </c>
      <c r="F66" s="58">
        <v>5</v>
      </c>
      <c r="G66" s="57">
        <v>5</v>
      </c>
      <c r="H66" s="57" t="s">
        <v>65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8"/>
      <c r="AF66" s="65"/>
      <c r="AG66" s="65"/>
      <c r="AH66" s="65"/>
      <c r="AI66" s="65"/>
      <c r="AJ66" s="65"/>
      <c r="AK66" s="65"/>
      <c r="AL66" s="72">
        <v>5</v>
      </c>
      <c r="AM66" s="134"/>
      <c r="AN66" s="134"/>
      <c r="AO66" s="72"/>
      <c r="AP66" s="59"/>
    </row>
    <row r="67" spans="1:42" ht="14.1" customHeight="1">
      <c r="A67" s="86" t="s">
        <v>103</v>
      </c>
      <c r="B67" s="13" t="str">
        <f t="shared" si="3"/>
        <v>X</v>
      </c>
      <c r="C67" s="14">
        <v>7</v>
      </c>
      <c r="D67" s="87" t="s">
        <v>91</v>
      </c>
      <c r="E67" s="88">
        <v>120</v>
      </c>
      <c r="F67" s="89">
        <v>6</v>
      </c>
      <c r="G67" s="90">
        <v>3.64</v>
      </c>
      <c r="H67" s="91" t="s">
        <v>41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C67" s="113">
        <v>3.64</v>
      </c>
      <c r="AD67" s="113"/>
      <c r="AE67" s="114"/>
      <c r="AF67" s="65"/>
      <c r="AG67" s="65"/>
      <c r="AH67" s="65"/>
      <c r="AI67" s="65"/>
      <c r="AJ67" s="65"/>
      <c r="AK67" s="65"/>
      <c r="AL67" s="72"/>
      <c r="AM67" s="134"/>
      <c r="AN67" s="134"/>
      <c r="AO67" s="72"/>
      <c r="AP67" s="59"/>
    </row>
    <row r="68" spans="1:42" ht="14.1" customHeight="1">
      <c r="A68" s="86" t="s">
        <v>103</v>
      </c>
      <c r="B68" s="13" t="s">
        <v>104</v>
      </c>
      <c r="C68" s="14">
        <v>7</v>
      </c>
      <c r="D68" s="135" t="s">
        <v>93</v>
      </c>
      <c r="E68" s="88">
        <v>100</v>
      </c>
      <c r="F68" s="89">
        <v>5</v>
      </c>
      <c r="G68" s="90">
        <v>3.03</v>
      </c>
      <c r="H68" s="91" t="s">
        <v>41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>
        <v>3.03</v>
      </c>
      <c r="Z68" s="113"/>
      <c r="AA68" s="113"/>
      <c r="AB68" s="113"/>
      <c r="AC68" s="113"/>
      <c r="AD68" s="113"/>
      <c r="AE68" s="114"/>
      <c r="AF68" s="65"/>
      <c r="AG68" s="65"/>
      <c r="AH68" s="65"/>
      <c r="AI68" s="65"/>
      <c r="AJ68" s="65"/>
      <c r="AK68" s="65"/>
      <c r="AL68" s="72"/>
      <c r="AM68" s="134"/>
      <c r="AN68" s="134"/>
      <c r="AO68" s="72"/>
      <c r="AP68" s="59"/>
    </row>
    <row r="69" spans="1:42" ht="14.1" customHeight="1">
      <c r="A69" s="86" t="s">
        <v>103</v>
      </c>
      <c r="B69" s="13" t="str">
        <f t="shared" ref="B69:B74" si="4">IF(SUM(I69:AP69)=G69,"X","")</f>
        <v>X</v>
      </c>
      <c r="C69" s="14">
        <v>7</v>
      </c>
      <c r="D69" s="136" t="s">
        <v>94</v>
      </c>
      <c r="E69" s="88">
        <v>80</v>
      </c>
      <c r="F69" s="89">
        <v>4</v>
      </c>
      <c r="G69" s="90">
        <v>2.42</v>
      </c>
      <c r="H69" s="91" t="s">
        <v>41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>
        <v>2.42</v>
      </c>
      <c r="AD69" s="113"/>
      <c r="AE69" s="114"/>
      <c r="AF69" s="65"/>
      <c r="AG69" s="65"/>
      <c r="AH69" s="65"/>
      <c r="AI69" s="65"/>
      <c r="AJ69" s="65"/>
      <c r="AK69" s="65"/>
      <c r="AL69" s="72"/>
      <c r="AM69" s="134"/>
      <c r="AN69" s="134"/>
      <c r="AO69" s="72"/>
      <c r="AP69" s="59"/>
    </row>
    <row r="70" spans="1:42" ht="14.1" customHeight="1">
      <c r="A70" s="86" t="s">
        <v>105</v>
      </c>
      <c r="B70" s="13" t="str">
        <f t="shared" si="4"/>
        <v>X</v>
      </c>
      <c r="C70" s="210"/>
      <c r="D70" s="93" t="s">
        <v>61</v>
      </c>
      <c r="E70" s="94">
        <v>50</v>
      </c>
      <c r="F70" s="97">
        <v>1.52</v>
      </c>
      <c r="G70" s="97">
        <v>1.52</v>
      </c>
      <c r="H70" s="96" t="s">
        <v>41</v>
      </c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>
        <v>1.52</v>
      </c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</row>
    <row r="71" spans="1:42" ht="14.1" customHeight="1">
      <c r="A71" s="86" t="s">
        <v>105</v>
      </c>
      <c r="B71" s="13" t="str">
        <f t="shared" si="4"/>
        <v>X</v>
      </c>
      <c r="C71" s="14"/>
      <c r="D71" s="93" t="s">
        <v>62</v>
      </c>
      <c r="E71" s="98"/>
      <c r="F71" s="41">
        <v>2.85</v>
      </c>
      <c r="G71" s="41">
        <v>2.85</v>
      </c>
      <c r="H71" s="100" t="s">
        <v>41</v>
      </c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>
        <v>0.85</v>
      </c>
      <c r="AA71" s="49">
        <v>2</v>
      </c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</row>
    <row r="72" spans="1:42" ht="14.1" customHeight="1">
      <c r="A72" s="86" t="s">
        <v>105</v>
      </c>
      <c r="B72" s="13" t="str">
        <f t="shared" si="4"/>
        <v>X</v>
      </c>
      <c r="C72" s="14"/>
      <c r="D72" s="93" t="s">
        <v>62</v>
      </c>
      <c r="E72" s="98"/>
      <c r="F72" s="100">
        <v>2</v>
      </c>
      <c r="G72" s="100">
        <v>2</v>
      </c>
      <c r="H72" s="100" t="s">
        <v>41</v>
      </c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>
        <v>2</v>
      </c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</row>
    <row r="73" spans="1:42" ht="14.1" customHeight="1">
      <c r="A73" s="86" t="s">
        <v>103</v>
      </c>
      <c r="B73" s="13" t="str">
        <f t="shared" si="4"/>
        <v>X</v>
      </c>
      <c r="C73" s="14">
        <v>7</v>
      </c>
      <c r="D73" s="137" t="s">
        <v>97</v>
      </c>
      <c r="E73" s="103">
        <v>140</v>
      </c>
      <c r="F73" s="104">
        <v>7</v>
      </c>
      <c r="G73" s="138">
        <v>4.24</v>
      </c>
      <c r="H73" s="106" t="s">
        <v>65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113"/>
      <c r="AE73" s="114"/>
      <c r="AF73" s="139"/>
      <c r="AG73" s="139"/>
      <c r="AH73" s="139"/>
      <c r="AI73" s="139"/>
      <c r="AJ73" s="139"/>
      <c r="AK73" s="139"/>
      <c r="AL73" s="140"/>
      <c r="AM73" s="141">
        <v>4.24</v>
      </c>
      <c r="AN73" s="141"/>
      <c r="AO73" s="140"/>
      <c r="AP73" s="139"/>
    </row>
    <row r="74" spans="1:42" ht="14.1" customHeight="1">
      <c r="A74" s="86" t="s">
        <v>103</v>
      </c>
      <c r="B74" s="13" t="str">
        <f t="shared" si="4"/>
        <v>X</v>
      </c>
      <c r="C74" s="14">
        <v>7</v>
      </c>
      <c r="D74" s="142" t="s">
        <v>99</v>
      </c>
      <c r="E74" s="103">
        <v>100</v>
      </c>
      <c r="F74" s="104">
        <v>5</v>
      </c>
      <c r="G74" s="138">
        <v>3.03</v>
      </c>
      <c r="H74" s="106" t="s">
        <v>65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4"/>
      <c r="AF74" s="139"/>
      <c r="AG74" s="139"/>
      <c r="AH74" s="139"/>
      <c r="AI74" s="139"/>
      <c r="AJ74" s="139"/>
      <c r="AK74" s="139"/>
      <c r="AL74" s="140"/>
      <c r="AM74" s="141">
        <v>3.03</v>
      </c>
      <c r="AN74" s="141"/>
      <c r="AO74" s="140"/>
      <c r="AP74" s="139"/>
    </row>
    <row r="75" spans="1:42" ht="14.1" customHeight="1">
      <c r="A75" s="127"/>
      <c r="B75" s="74"/>
      <c r="C75" s="75"/>
      <c r="D75" s="76"/>
      <c r="E75" s="77"/>
      <c r="F75" s="77"/>
      <c r="G75" s="79"/>
      <c r="H75" s="79"/>
      <c r="I75" s="128"/>
      <c r="J75" s="128"/>
      <c r="K75" s="128"/>
      <c r="L75" s="128"/>
      <c r="M75" s="128"/>
      <c r="N75" s="129"/>
      <c r="O75" s="128"/>
      <c r="P75" s="128"/>
      <c r="Q75" s="128"/>
      <c r="R75" s="128"/>
      <c r="S75" s="128"/>
      <c r="T75" s="129"/>
      <c r="U75" s="128"/>
      <c r="V75" s="128"/>
      <c r="W75" s="128"/>
      <c r="X75" s="129"/>
      <c r="Y75" s="129"/>
      <c r="Z75" s="129"/>
      <c r="AA75" s="129"/>
      <c r="AB75" s="129"/>
      <c r="AC75" s="129"/>
      <c r="AD75" s="129"/>
      <c r="AE75" s="129"/>
      <c r="AF75" s="82"/>
      <c r="AG75" s="82"/>
      <c r="AH75" s="82"/>
      <c r="AI75" s="82"/>
      <c r="AJ75" s="82"/>
      <c r="AK75" s="82"/>
      <c r="AL75" s="84"/>
      <c r="AM75" s="131"/>
      <c r="AN75" s="131"/>
      <c r="AO75" s="84"/>
      <c r="AP75" s="85"/>
    </row>
    <row r="76" spans="1:42" ht="14.1" customHeight="1">
      <c r="A76" s="143" t="s">
        <v>106</v>
      </c>
      <c r="B76" s="13" t="str">
        <f t="shared" ref="B76:B85" si="5">IF(SUM(I76:AP76)=G76,"X","")</f>
        <v>X</v>
      </c>
      <c r="C76" s="14">
        <v>107</v>
      </c>
      <c r="D76" s="15" t="s">
        <v>107</v>
      </c>
      <c r="E76" s="16">
        <v>231</v>
      </c>
      <c r="F76" s="17">
        <v>7</v>
      </c>
      <c r="G76" s="16">
        <v>7</v>
      </c>
      <c r="H76" s="16" t="s">
        <v>41</v>
      </c>
      <c r="I76" s="144"/>
      <c r="J76" s="144"/>
      <c r="K76" s="108"/>
      <c r="L76" s="108"/>
      <c r="M76" s="108"/>
      <c r="N76" s="108"/>
      <c r="O76" s="144"/>
      <c r="P76" s="144"/>
      <c r="Q76" s="144"/>
      <c r="R76" s="144"/>
      <c r="S76" s="144"/>
      <c r="T76" s="19"/>
      <c r="U76" s="144"/>
      <c r="V76" s="144"/>
      <c r="W76" s="144"/>
      <c r="X76" s="145">
        <v>7</v>
      </c>
      <c r="Y76" s="145"/>
      <c r="Z76" s="145"/>
      <c r="AA76" s="19"/>
      <c r="AB76" s="19"/>
      <c r="AC76" s="19"/>
      <c r="AD76" s="19"/>
      <c r="AE76" s="27"/>
      <c r="AF76" s="65"/>
      <c r="AG76" s="65"/>
      <c r="AH76" s="65"/>
      <c r="AI76" s="65"/>
      <c r="AJ76" s="65"/>
      <c r="AK76" s="65"/>
      <c r="AL76" s="65"/>
      <c r="AM76" s="65"/>
      <c r="AN76" s="65"/>
      <c r="AO76" s="65"/>
      <c r="AP76" s="65"/>
    </row>
    <row r="77" spans="1:42" ht="14.1" customHeight="1">
      <c r="A77" s="143" t="s">
        <v>106</v>
      </c>
      <c r="B77" s="13" t="str">
        <f t="shared" si="5"/>
        <v>X</v>
      </c>
      <c r="C77" s="14">
        <v>107</v>
      </c>
      <c r="D77" s="15" t="s">
        <v>108</v>
      </c>
      <c r="E77" s="16">
        <v>99</v>
      </c>
      <c r="F77" s="17">
        <v>3</v>
      </c>
      <c r="G77" s="16">
        <v>3</v>
      </c>
      <c r="H77" s="16" t="s">
        <v>41</v>
      </c>
      <c r="I77" s="108"/>
      <c r="J77" s="144"/>
      <c r="K77" s="108"/>
      <c r="L77" s="108"/>
      <c r="M77" s="108"/>
      <c r="N77" s="145"/>
      <c r="O77" s="144"/>
      <c r="P77" s="144"/>
      <c r="Q77" s="144"/>
      <c r="R77" s="144"/>
      <c r="S77" s="144"/>
      <c r="T77" s="145"/>
      <c r="U77" s="144"/>
      <c r="V77" s="18"/>
      <c r="W77" s="144"/>
      <c r="X77" s="145"/>
      <c r="Y77" s="145"/>
      <c r="Z77" s="145"/>
      <c r="AA77" s="145"/>
      <c r="AB77" s="145">
        <v>3</v>
      </c>
      <c r="AC77" s="145"/>
      <c r="AD77" s="145"/>
      <c r="AE77" s="145"/>
      <c r="AF77" s="65"/>
      <c r="AG77" s="65"/>
      <c r="AH77" s="65"/>
      <c r="AI77" s="65"/>
      <c r="AJ77" s="65"/>
      <c r="AK77" s="65"/>
      <c r="AL77" s="65"/>
      <c r="AM77" s="65"/>
      <c r="AN77" s="65"/>
      <c r="AO77" s="65"/>
      <c r="AP77" s="65"/>
    </row>
    <row r="78" spans="1:42" ht="14.1" customHeight="1">
      <c r="A78" s="143" t="s">
        <v>109</v>
      </c>
      <c r="B78" s="13" t="str">
        <f t="shared" si="5"/>
        <v>X</v>
      </c>
      <c r="C78" s="14">
        <v>7</v>
      </c>
      <c r="D78" s="15" t="s">
        <v>110</v>
      </c>
      <c r="E78" s="16">
        <v>189</v>
      </c>
      <c r="F78" s="17">
        <v>9</v>
      </c>
      <c r="G78" s="34">
        <v>5.73</v>
      </c>
      <c r="H78" s="34" t="s">
        <v>41</v>
      </c>
      <c r="I78" s="20"/>
      <c r="J78" s="20"/>
      <c r="K78" s="20"/>
      <c r="L78" s="20"/>
      <c r="M78" s="20"/>
      <c r="N78" s="35"/>
      <c r="O78" s="20"/>
      <c r="P78" s="20"/>
      <c r="Q78" s="20">
        <v>5.73</v>
      </c>
      <c r="R78" s="20"/>
      <c r="S78" s="20"/>
      <c r="T78" s="35"/>
      <c r="U78" s="20"/>
      <c r="V78" s="20"/>
      <c r="W78" s="20"/>
      <c r="X78" s="35"/>
      <c r="Y78" s="35"/>
      <c r="Z78" s="35"/>
      <c r="AA78" s="35"/>
      <c r="AB78" s="35"/>
      <c r="AC78" s="35"/>
      <c r="AD78" s="35"/>
      <c r="AE78" s="3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</row>
    <row r="79" spans="1:42" ht="14.1" customHeight="1">
      <c r="A79" s="143" t="s">
        <v>109</v>
      </c>
      <c r="B79" s="13" t="str">
        <f t="shared" si="5"/>
        <v>X</v>
      </c>
      <c r="C79" s="14">
        <v>7</v>
      </c>
      <c r="D79" s="15" t="s">
        <v>111</v>
      </c>
      <c r="E79" s="16">
        <v>105</v>
      </c>
      <c r="F79" s="17">
        <v>5</v>
      </c>
      <c r="G79" s="34">
        <v>3.18</v>
      </c>
      <c r="H79" s="34" t="s">
        <v>41</v>
      </c>
      <c r="I79" s="20"/>
      <c r="J79" s="20"/>
      <c r="K79" s="20"/>
      <c r="L79" s="20"/>
      <c r="M79" s="20"/>
      <c r="N79" s="35"/>
      <c r="O79" s="20"/>
      <c r="P79" s="20"/>
      <c r="Q79" s="20"/>
      <c r="R79" s="20"/>
      <c r="S79" s="20"/>
      <c r="T79" s="35"/>
      <c r="U79" s="20"/>
      <c r="V79" s="20"/>
      <c r="W79" s="20"/>
      <c r="X79" s="35"/>
      <c r="Y79" s="35"/>
      <c r="Z79" s="35"/>
      <c r="AA79" s="35">
        <v>3.18</v>
      </c>
      <c r="AB79" s="35"/>
      <c r="AC79" s="35"/>
      <c r="AD79" s="35"/>
      <c r="AE79" s="3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</row>
    <row r="80" spans="1:42" ht="14.1" customHeight="1">
      <c r="A80" s="143" t="s">
        <v>112</v>
      </c>
      <c r="B80" s="13" t="str">
        <f t="shared" si="5"/>
        <v>X</v>
      </c>
      <c r="C80" s="14"/>
      <c r="D80" s="146" t="s">
        <v>62</v>
      </c>
      <c r="E80" s="41"/>
      <c r="F80" s="41">
        <v>3.85</v>
      </c>
      <c r="G80" s="41">
        <v>3.85</v>
      </c>
      <c r="H80" s="41" t="s">
        <v>41</v>
      </c>
      <c r="I80" s="51"/>
      <c r="J80" s="51"/>
      <c r="K80" s="51"/>
      <c r="L80" s="51"/>
      <c r="M80" s="52"/>
      <c r="N80" s="52"/>
      <c r="O80" s="51"/>
      <c r="P80" s="51"/>
      <c r="Q80" s="51"/>
      <c r="R80" s="51"/>
      <c r="S80" s="51"/>
      <c r="T80" s="52"/>
      <c r="U80" s="51"/>
      <c r="V80" s="51"/>
      <c r="W80" s="51"/>
      <c r="X80" s="52"/>
      <c r="Y80" s="52"/>
      <c r="Z80" s="52"/>
      <c r="AA80" s="44">
        <v>3.85</v>
      </c>
      <c r="AB80" s="52"/>
      <c r="AC80" s="52"/>
      <c r="AD80" s="52"/>
      <c r="AE80" s="147"/>
      <c r="AF80" s="53"/>
      <c r="AG80" s="53"/>
      <c r="AH80" s="53"/>
      <c r="AI80" s="53"/>
      <c r="AJ80" s="53"/>
      <c r="AK80" s="53"/>
      <c r="AL80" s="53"/>
      <c r="AM80" s="55"/>
      <c r="AN80" s="55"/>
      <c r="AO80" s="53"/>
      <c r="AP80" s="53"/>
    </row>
    <row r="81" spans="1:42" ht="14.1" customHeight="1">
      <c r="A81" s="143" t="s">
        <v>112</v>
      </c>
      <c r="B81" s="13" t="str">
        <f t="shared" si="5"/>
        <v>X</v>
      </c>
      <c r="C81" s="14"/>
      <c r="D81" s="146" t="s">
        <v>62</v>
      </c>
      <c r="E81" s="41"/>
      <c r="F81" s="41">
        <v>1</v>
      </c>
      <c r="G81" s="41">
        <v>1</v>
      </c>
      <c r="H81" s="41" t="s">
        <v>65</v>
      </c>
      <c r="I81" s="51"/>
      <c r="J81" s="51"/>
      <c r="K81" s="51"/>
      <c r="L81" s="51"/>
      <c r="M81" s="52"/>
      <c r="N81" s="52"/>
      <c r="O81" s="51"/>
      <c r="P81" s="51"/>
      <c r="Q81" s="52"/>
      <c r="R81" s="51"/>
      <c r="S81" s="51"/>
      <c r="T81" s="52"/>
      <c r="U81" s="51"/>
      <c r="V81" s="51"/>
      <c r="W81" s="51"/>
      <c r="X81" s="52"/>
      <c r="Y81" s="52"/>
      <c r="Z81" s="52"/>
      <c r="AA81" s="51"/>
      <c r="AB81" s="51"/>
      <c r="AC81" s="52"/>
      <c r="AD81" s="52"/>
      <c r="AE81" s="147"/>
      <c r="AF81" s="53"/>
      <c r="AG81" s="53"/>
      <c r="AH81" s="53"/>
      <c r="AI81" s="53"/>
      <c r="AJ81" s="53"/>
      <c r="AK81" s="53"/>
      <c r="AL81" s="53"/>
      <c r="AM81" s="55">
        <v>1</v>
      </c>
      <c r="AN81" s="55"/>
      <c r="AO81" s="53"/>
      <c r="AP81" s="53"/>
    </row>
    <row r="82" spans="1:42" ht="13.5" customHeight="1">
      <c r="A82" s="143" t="s">
        <v>106</v>
      </c>
      <c r="B82" s="13" t="str">
        <f t="shared" si="5"/>
        <v>X</v>
      </c>
      <c r="C82" s="14" t="s">
        <v>113</v>
      </c>
      <c r="D82" s="56" t="s">
        <v>114</v>
      </c>
      <c r="E82" s="57">
        <v>231</v>
      </c>
      <c r="F82" s="58">
        <v>7</v>
      </c>
      <c r="G82" s="57">
        <v>7</v>
      </c>
      <c r="H82" s="57" t="s">
        <v>65</v>
      </c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35"/>
      <c r="AF82" s="59"/>
      <c r="AG82" s="59"/>
      <c r="AH82" s="59"/>
      <c r="AI82" s="59"/>
      <c r="AJ82" s="59"/>
      <c r="AK82" s="59">
        <v>7</v>
      </c>
      <c r="AL82" s="59"/>
      <c r="AM82" s="60"/>
      <c r="AN82" s="60"/>
      <c r="AO82" s="59"/>
      <c r="AP82" s="59"/>
    </row>
    <row r="83" spans="1:42" ht="14.1" customHeight="1">
      <c r="A83" s="143" t="s">
        <v>106</v>
      </c>
      <c r="B83" s="13" t="str">
        <f t="shared" si="5"/>
        <v>X</v>
      </c>
      <c r="C83" s="14" t="s">
        <v>113</v>
      </c>
      <c r="D83" s="56" t="s">
        <v>115</v>
      </c>
      <c r="E83" s="57">
        <v>165</v>
      </c>
      <c r="F83" s="58">
        <v>5</v>
      </c>
      <c r="G83" s="57">
        <v>5</v>
      </c>
      <c r="H83" s="57" t="s">
        <v>65</v>
      </c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35"/>
      <c r="AF83" s="59"/>
      <c r="AG83" s="59"/>
      <c r="AH83" s="59"/>
      <c r="AI83" s="59"/>
      <c r="AJ83" s="59"/>
      <c r="AK83" s="59">
        <v>5</v>
      </c>
      <c r="AL83" s="59"/>
      <c r="AM83" s="60"/>
      <c r="AN83" s="60"/>
      <c r="AO83" s="59"/>
      <c r="AP83" s="59"/>
    </row>
    <row r="84" spans="1:42" ht="14.1" customHeight="1">
      <c r="A84" s="143" t="s">
        <v>106</v>
      </c>
      <c r="B84" s="13" t="str">
        <f t="shared" si="5"/>
        <v>X</v>
      </c>
      <c r="C84" s="14" t="s">
        <v>113</v>
      </c>
      <c r="D84" s="56" t="s">
        <v>116</v>
      </c>
      <c r="E84" s="57">
        <v>231</v>
      </c>
      <c r="F84" s="58">
        <v>7</v>
      </c>
      <c r="G84" s="57">
        <v>7</v>
      </c>
      <c r="H84" s="57" t="s">
        <v>65</v>
      </c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35"/>
      <c r="AF84" s="59">
        <v>7</v>
      </c>
      <c r="AG84" s="59"/>
      <c r="AH84" s="59"/>
      <c r="AI84" s="59"/>
      <c r="AJ84" s="59"/>
      <c r="AK84" s="59"/>
      <c r="AL84" s="59"/>
      <c r="AM84" s="60"/>
      <c r="AN84" s="60"/>
      <c r="AO84" s="59"/>
      <c r="AP84" s="59"/>
    </row>
    <row r="85" spans="1:42" ht="14.1" customHeight="1">
      <c r="A85" s="143" t="s">
        <v>109</v>
      </c>
      <c r="B85" s="13" t="str">
        <f t="shared" si="5"/>
        <v>X</v>
      </c>
      <c r="C85" s="14" t="s">
        <v>117</v>
      </c>
      <c r="D85" s="56" t="s">
        <v>118</v>
      </c>
      <c r="E85" s="57">
        <v>168</v>
      </c>
      <c r="F85" s="58">
        <v>8</v>
      </c>
      <c r="G85" s="64">
        <v>5.09</v>
      </c>
      <c r="H85" s="64" t="s">
        <v>65</v>
      </c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37"/>
      <c r="AF85" s="65"/>
      <c r="AG85" s="65"/>
      <c r="AH85" s="65"/>
      <c r="AI85" s="65"/>
      <c r="AJ85" s="65"/>
      <c r="AK85" s="65">
        <v>5.09</v>
      </c>
      <c r="AL85" s="65"/>
      <c r="AM85" s="66"/>
      <c r="AN85" s="66"/>
      <c r="AO85" s="65"/>
      <c r="AP85" s="59"/>
    </row>
    <row r="86" spans="1:42" ht="14.1" customHeight="1">
      <c r="A86" s="148"/>
      <c r="B86" s="74"/>
      <c r="C86" s="149"/>
      <c r="D86" s="150"/>
      <c r="E86" s="151"/>
      <c r="F86" s="152"/>
      <c r="G86" s="153"/>
      <c r="H86" s="154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  <c r="AF86" s="155"/>
      <c r="AG86" s="155"/>
      <c r="AH86" s="155"/>
      <c r="AI86" s="155"/>
      <c r="AJ86" s="155"/>
      <c r="AK86" s="155"/>
      <c r="AL86" s="155"/>
      <c r="AM86" s="155"/>
      <c r="AN86" s="155"/>
      <c r="AO86" s="82"/>
      <c r="AP86" s="132"/>
    </row>
    <row r="87" spans="1:42" ht="14.1" customHeight="1">
      <c r="A87" s="143" t="s">
        <v>119</v>
      </c>
      <c r="B87" s="13" t="str">
        <f t="shared" ref="B87:B96" si="6">IF(SUM(I87:AP87)=G87,"X","")</f>
        <v>X</v>
      </c>
      <c r="C87" s="14">
        <v>15</v>
      </c>
      <c r="D87" s="15" t="s">
        <v>120</v>
      </c>
      <c r="E87" s="16">
        <v>231</v>
      </c>
      <c r="F87" s="17">
        <v>7</v>
      </c>
      <c r="G87" s="16">
        <v>7</v>
      </c>
      <c r="H87" s="156" t="s">
        <v>47</v>
      </c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>
        <v>7</v>
      </c>
      <c r="V87" s="20"/>
      <c r="W87" s="20"/>
      <c r="X87" s="20"/>
      <c r="Y87" s="20"/>
      <c r="Z87" s="20"/>
      <c r="AA87" s="20"/>
      <c r="AB87" s="20"/>
      <c r="AC87" s="20"/>
      <c r="AD87" s="20"/>
      <c r="AE87" s="35"/>
      <c r="AF87" s="66"/>
      <c r="AG87" s="66"/>
      <c r="AH87" s="66"/>
      <c r="AI87" s="66"/>
      <c r="AJ87" s="66"/>
      <c r="AK87" s="66"/>
      <c r="AL87" s="66"/>
      <c r="AM87" s="66"/>
      <c r="AN87" s="66"/>
      <c r="AO87" s="65"/>
      <c r="AP87" s="65"/>
    </row>
    <row r="88" spans="1:42" ht="14.1" customHeight="1">
      <c r="A88" s="143" t="s">
        <v>119</v>
      </c>
      <c r="B88" s="13" t="str">
        <f t="shared" si="6"/>
        <v>X</v>
      </c>
      <c r="C88" s="204">
        <v>15</v>
      </c>
      <c r="D88" s="15" t="s">
        <v>121</v>
      </c>
      <c r="E88" s="16">
        <v>99</v>
      </c>
      <c r="F88" s="17">
        <v>3</v>
      </c>
      <c r="G88" s="16">
        <v>3</v>
      </c>
      <c r="H88" s="156" t="s">
        <v>47</v>
      </c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>
        <v>3</v>
      </c>
      <c r="X88" s="20"/>
      <c r="Y88" s="20"/>
      <c r="Z88" s="20"/>
      <c r="AA88" s="20"/>
      <c r="AB88" s="20"/>
      <c r="AC88" s="20"/>
      <c r="AD88" s="20"/>
      <c r="AE88" s="35"/>
      <c r="AF88" s="66"/>
      <c r="AG88" s="66"/>
      <c r="AH88" s="66"/>
      <c r="AI88" s="66"/>
      <c r="AJ88" s="66"/>
      <c r="AK88" s="66"/>
      <c r="AL88" s="66"/>
      <c r="AM88" s="66"/>
      <c r="AN88" s="66"/>
      <c r="AO88" s="65"/>
      <c r="AP88" s="65"/>
    </row>
    <row r="89" spans="1:42" ht="14.1" customHeight="1">
      <c r="A89" s="143" t="s">
        <v>122</v>
      </c>
      <c r="B89" s="13" t="str">
        <f t="shared" si="6"/>
        <v>X</v>
      </c>
      <c r="C89" s="203" t="s">
        <v>102</v>
      </c>
      <c r="D89" s="157" t="s">
        <v>123</v>
      </c>
      <c r="E89" s="88">
        <v>189</v>
      </c>
      <c r="F89" s="89">
        <v>9</v>
      </c>
      <c r="G89" s="90">
        <v>5.73</v>
      </c>
      <c r="H89" s="91" t="s">
        <v>47</v>
      </c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>
        <v>5.73</v>
      </c>
      <c r="AE89" s="35"/>
      <c r="AF89" s="66"/>
      <c r="AG89" s="66"/>
      <c r="AH89" s="66"/>
      <c r="AI89" s="66"/>
      <c r="AJ89" s="66"/>
      <c r="AK89" s="66"/>
      <c r="AL89" s="66"/>
      <c r="AM89" s="66"/>
      <c r="AN89" s="66"/>
      <c r="AO89" s="65"/>
      <c r="AP89" s="65"/>
    </row>
    <row r="90" spans="1:42" ht="14.1" customHeight="1">
      <c r="A90" s="143" t="s">
        <v>122</v>
      </c>
      <c r="B90" s="13" t="str">
        <f t="shared" si="6"/>
        <v>X</v>
      </c>
      <c r="C90" s="203" t="s">
        <v>102</v>
      </c>
      <c r="D90" s="157" t="s">
        <v>124</v>
      </c>
      <c r="E90" s="88">
        <v>105</v>
      </c>
      <c r="F90" s="89">
        <v>5</v>
      </c>
      <c r="G90" s="90">
        <v>3.18</v>
      </c>
      <c r="H90" s="91" t="s">
        <v>47</v>
      </c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>
        <v>3.18</v>
      </c>
      <c r="X90" s="20"/>
      <c r="Y90" s="20"/>
      <c r="Z90" s="20"/>
      <c r="AA90" s="20"/>
      <c r="AB90" s="20"/>
      <c r="AC90" s="20"/>
      <c r="AD90" s="20"/>
      <c r="AE90" s="35"/>
      <c r="AF90" s="66"/>
      <c r="AG90" s="66"/>
      <c r="AH90" s="66"/>
      <c r="AI90" s="66"/>
      <c r="AJ90" s="66"/>
      <c r="AK90" s="66"/>
      <c r="AL90" s="66"/>
      <c r="AM90" s="66"/>
      <c r="AN90" s="66"/>
      <c r="AO90" s="65"/>
      <c r="AP90" s="65"/>
    </row>
    <row r="91" spans="1:42" ht="14.1" customHeight="1">
      <c r="A91" s="143" t="s">
        <v>125</v>
      </c>
      <c r="B91" s="13" t="str">
        <f t="shared" si="6"/>
        <v>X</v>
      </c>
      <c r="C91" s="204"/>
      <c r="D91" s="158" t="s">
        <v>62</v>
      </c>
      <c r="E91" s="94"/>
      <c r="F91" s="41">
        <v>2.85</v>
      </c>
      <c r="G91" s="41">
        <v>2.85</v>
      </c>
      <c r="H91" s="100" t="s">
        <v>63</v>
      </c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>
        <v>1.5</v>
      </c>
      <c r="V91" s="43"/>
      <c r="W91" s="43"/>
      <c r="X91" s="43"/>
      <c r="Y91" s="43"/>
      <c r="Z91" s="43"/>
      <c r="AA91" s="43"/>
      <c r="AB91" s="43"/>
      <c r="AC91" s="43"/>
      <c r="AD91" s="43"/>
      <c r="AE91" s="44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3">
        <v>1.35</v>
      </c>
    </row>
    <row r="92" spans="1:42" ht="14.1" customHeight="1">
      <c r="A92" s="143" t="s">
        <v>125</v>
      </c>
      <c r="B92" s="13" t="str">
        <f t="shared" si="6"/>
        <v>X</v>
      </c>
      <c r="C92" s="204"/>
      <c r="D92" s="158" t="s">
        <v>62</v>
      </c>
      <c r="E92" s="94"/>
      <c r="F92" s="100">
        <v>2</v>
      </c>
      <c r="G92" s="100">
        <v>2</v>
      </c>
      <c r="H92" s="100" t="s">
        <v>47</v>
      </c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>
        <v>2</v>
      </c>
      <c r="V92" s="43"/>
      <c r="W92" s="43"/>
      <c r="X92" s="43"/>
      <c r="Y92" s="43"/>
      <c r="Z92" s="43"/>
      <c r="AA92" s="43"/>
      <c r="AB92" s="43"/>
      <c r="AC92" s="43"/>
      <c r="AD92" s="43"/>
      <c r="AE92" s="44"/>
      <c r="AF92" s="49"/>
      <c r="AG92" s="49"/>
      <c r="AH92" s="49"/>
      <c r="AI92" s="49"/>
      <c r="AJ92" s="49"/>
      <c r="AK92" s="49"/>
      <c r="AL92" s="49"/>
      <c r="AM92" s="49"/>
      <c r="AN92" s="43"/>
      <c r="AO92" s="43"/>
      <c r="AP92" s="43"/>
    </row>
    <row r="93" spans="1:42" ht="14.1" customHeight="1">
      <c r="A93" s="143" t="s">
        <v>119</v>
      </c>
      <c r="B93" s="13" t="str">
        <f t="shared" si="6"/>
        <v>X</v>
      </c>
      <c r="C93" s="14">
        <v>15</v>
      </c>
      <c r="D93" s="159" t="s">
        <v>126</v>
      </c>
      <c r="E93" s="57">
        <v>231</v>
      </c>
      <c r="F93" s="58">
        <v>7</v>
      </c>
      <c r="G93" s="57">
        <v>7</v>
      </c>
      <c r="H93" s="160" t="s">
        <v>63</v>
      </c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35"/>
      <c r="AF93" s="66"/>
      <c r="AG93" s="66"/>
      <c r="AH93" s="66"/>
      <c r="AI93" s="66"/>
      <c r="AJ93" s="66"/>
      <c r="AK93" s="66"/>
      <c r="AL93" s="66"/>
      <c r="AM93" s="66"/>
      <c r="AN93" s="43"/>
      <c r="AO93" s="43">
        <v>7</v>
      </c>
      <c r="AP93" s="43"/>
    </row>
    <row r="94" spans="1:42" ht="14.1" customHeight="1">
      <c r="A94" s="143" t="s">
        <v>119</v>
      </c>
      <c r="B94" s="13" t="str">
        <f t="shared" si="6"/>
        <v>X</v>
      </c>
      <c r="C94" s="204">
        <v>15</v>
      </c>
      <c r="D94" s="159" t="s">
        <v>127</v>
      </c>
      <c r="E94" s="57">
        <v>165</v>
      </c>
      <c r="F94" s="58">
        <v>5</v>
      </c>
      <c r="G94" s="57">
        <v>5</v>
      </c>
      <c r="H94" s="160" t="s">
        <v>63</v>
      </c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37"/>
      <c r="AF94" s="66"/>
      <c r="AG94" s="66"/>
      <c r="AH94" s="66"/>
      <c r="AI94" s="66"/>
      <c r="AJ94" s="66"/>
      <c r="AK94" s="66"/>
      <c r="AL94" s="66"/>
      <c r="AM94" s="66"/>
      <c r="AN94" s="43"/>
      <c r="AO94" s="43">
        <v>5</v>
      </c>
      <c r="AP94" s="43"/>
    </row>
    <row r="95" spans="1:42" ht="14.1" customHeight="1">
      <c r="A95" s="143" t="s">
        <v>119</v>
      </c>
      <c r="B95" s="13" t="str">
        <f t="shared" si="6"/>
        <v>X</v>
      </c>
      <c r="C95" s="161" t="s">
        <v>128</v>
      </c>
      <c r="D95" s="159" t="s">
        <v>129</v>
      </c>
      <c r="E95" s="57">
        <v>231</v>
      </c>
      <c r="F95" s="58">
        <v>7</v>
      </c>
      <c r="G95" s="57">
        <v>7</v>
      </c>
      <c r="H95" s="160" t="s">
        <v>63</v>
      </c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37"/>
      <c r="AF95" s="66"/>
      <c r="AG95" s="66"/>
      <c r="AH95" s="66"/>
      <c r="AI95" s="66"/>
      <c r="AJ95" s="66"/>
      <c r="AK95" s="66"/>
      <c r="AL95" s="66"/>
      <c r="AM95" s="66"/>
      <c r="AN95" s="43"/>
      <c r="AO95" s="43"/>
      <c r="AP95" s="43">
        <v>7</v>
      </c>
    </row>
    <row r="96" spans="1:42" ht="14.1" customHeight="1">
      <c r="A96" s="143" t="s">
        <v>122</v>
      </c>
      <c r="B96" s="13" t="str">
        <f t="shared" si="6"/>
        <v>X</v>
      </c>
      <c r="C96" s="205" t="s">
        <v>102</v>
      </c>
      <c r="D96" s="102" t="s">
        <v>130</v>
      </c>
      <c r="E96" s="103">
        <v>168</v>
      </c>
      <c r="F96" s="104">
        <v>8</v>
      </c>
      <c r="G96" s="138">
        <v>5.09</v>
      </c>
      <c r="H96" s="106" t="s">
        <v>63</v>
      </c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37"/>
      <c r="AF96" s="66"/>
      <c r="AG96" s="66"/>
      <c r="AH96" s="66"/>
      <c r="AI96" s="66"/>
      <c r="AJ96" s="66"/>
      <c r="AK96" s="66"/>
      <c r="AL96" s="66"/>
      <c r="AM96" s="66"/>
      <c r="AN96" s="43"/>
      <c r="AO96" s="43">
        <v>5.09</v>
      </c>
      <c r="AP96" s="43"/>
    </row>
    <row r="97" spans="1:42" ht="14.1" customHeight="1">
      <c r="A97" s="148"/>
      <c r="B97" s="74"/>
      <c r="C97" s="149"/>
      <c r="D97" s="150"/>
      <c r="E97" s="151"/>
      <c r="F97" s="152"/>
      <c r="G97" s="153"/>
      <c r="H97" s="154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55"/>
      <c r="AG97" s="155"/>
      <c r="AH97" s="155"/>
      <c r="AI97" s="155"/>
      <c r="AJ97" s="155"/>
      <c r="AK97" s="155"/>
      <c r="AL97" s="155"/>
      <c r="AM97" s="155"/>
      <c r="AN97" s="155"/>
      <c r="AO97" s="155"/>
      <c r="AP97" s="155"/>
    </row>
    <row r="98" spans="1:42" ht="15" customHeight="1">
      <c r="A98" s="11"/>
      <c r="B98" s="13" t="str">
        <f t="shared" ref="B98:B110" si="7">IF(SUM(I98:AP98)=G98,"X","")</f>
        <v>X</v>
      </c>
      <c r="C98" s="206"/>
      <c r="D98" s="11"/>
      <c r="E98" s="11"/>
      <c r="F98" s="11"/>
      <c r="G98" s="162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</row>
    <row r="99" spans="1:42" ht="14.1" customHeight="1">
      <c r="A99" s="86" t="s">
        <v>131</v>
      </c>
      <c r="B99" s="13" t="str">
        <f t="shared" si="7"/>
        <v>X</v>
      </c>
      <c r="C99" s="14">
        <v>14</v>
      </c>
      <c r="D99" s="163" t="s">
        <v>132</v>
      </c>
      <c r="E99" s="16">
        <v>198</v>
      </c>
      <c r="F99" s="17">
        <v>6</v>
      </c>
      <c r="G99" s="164">
        <v>6</v>
      </c>
      <c r="H99" s="164" t="s">
        <v>41</v>
      </c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>
        <v>6</v>
      </c>
      <c r="AA99" s="108"/>
      <c r="AB99" s="108"/>
      <c r="AC99" s="108"/>
      <c r="AD99" s="108"/>
      <c r="AE99" s="109"/>
      <c r="AF99" s="165"/>
      <c r="AG99" s="165"/>
      <c r="AH99" s="165"/>
      <c r="AI99" s="165"/>
      <c r="AJ99" s="165"/>
      <c r="AK99" s="165"/>
      <c r="AL99" s="165"/>
      <c r="AM99" s="165"/>
      <c r="AN99" s="43"/>
      <c r="AO99" s="43"/>
      <c r="AP99" s="43"/>
    </row>
    <row r="100" spans="1:42" ht="14.1" customHeight="1">
      <c r="A100" s="86" t="s">
        <v>131</v>
      </c>
      <c r="B100" s="13" t="str">
        <f t="shared" si="7"/>
        <v>X</v>
      </c>
      <c r="C100" s="14">
        <v>14</v>
      </c>
      <c r="D100" s="163" t="s">
        <v>133</v>
      </c>
      <c r="E100" s="16">
        <v>264</v>
      </c>
      <c r="F100" s="17">
        <v>8</v>
      </c>
      <c r="G100" s="164">
        <v>8</v>
      </c>
      <c r="H100" s="164" t="s">
        <v>41</v>
      </c>
      <c r="I100" s="108"/>
      <c r="J100" s="108"/>
      <c r="K100" s="108"/>
      <c r="L100" s="108"/>
      <c r="M100" s="108"/>
      <c r="N100" s="108"/>
      <c r="O100" s="108">
        <v>8</v>
      </c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9"/>
      <c r="AF100" s="165"/>
      <c r="AG100" s="165"/>
      <c r="AH100" s="165"/>
      <c r="AI100" s="165"/>
      <c r="AJ100" s="165"/>
      <c r="AK100" s="165"/>
      <c r="AL100" s="165"/>
      <c r="AM100" s="165"/>
      <c r="AN100" s="43"/>
      <c r="AO100" s="43"/>
      <c r="AP100" s="43"/>
    </row>
    <row r="101" spans="1:42" ht="14.1" customHeight="1">
      <c r="A101" s="86" t="s">
        <v>131</v>
      </c>
      <c r="B101" s="13" t="str">
        <f t="shared" si="7"/>
        <v>X</v>
      </c>
      <c r="C101" s="14">
        <v>14</v>
      </c>
      <c r="D101" s="163" t="s">
        <v>134</v>
      </c>
      <c r="E101" s="16">
        <v>132</v>
      </c>
      <c r="F101" s="17">
        <v>4</v>
      </c>
      <c r="G101" s="164">
        <v>4</v>
      </c>
      <c r="H101" s="164" t="s">
        <v>41</v>
      </c>
      <c r="I101" s="108"/>
      <c r="J101" s="108"/>
      <c r="K101" s="108"/>
      <c r="L101" s="108">
        <v>4</v>
      </c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15"/>
      <c r="AF101" s="165"/>
      <c r="AG101" s="165"/>
      <c r="AH101" s="165"/>
      <c r="AI101" s="165"/>
      <c r="AJ101" s="165"/>
      <c r="AK101" s="165"/>
      <c r="AL101" s="165"/>
      <c r="AM101" s="165"/>
      <c r="AN101" s="43"/>
      <c r="AO101" s="43"/>
      <c r="AP101" s="43"/>
    </row>
    <row r="102" spans="1:42" ht="14.1" customHeight="1">
      <c r="A102" s="86" t="s">
        <v>131</v>
      </c>
      <c r="B102" s="13" t="str">
        <f t="shared" si="7"/>
        <v>X</v>
      </c>
      <c r="C102" s="14">
        <v>14</v>
      </c>
      <c r="D102" s="163" t="s">
        <v>135</v>
      </c>
      <c r="E102" s="16">
        <v>99</v>
      </c>
      <c r="F102" s="17">
        <v>3</v>
      </c>
      <c r="G102" s="164">
        <v>3</v>
      </c>
      <c r="H102" s="164" t="s">
        <v>41</v>
      </c>
      <c r="I102" s="108"/>
      <c r="J102" s="108"/>
      <c r="K102" s="108"/>
      <c r="L102" s="108"/>
      <c r="M102" s="108"/>
      <c r="N102" s="108"/>
      <c r="O102" s="108">
        <v>3</v>
      </c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15"/>
      <c r="AF102" s="165"/>
      <c r="AG102" s="165"/>
      <c r="AH102" s="165"/>
      <c r="AI102" s="165"/>
      <c r="AJ102" s="165"/>
      <c r="AK102" s="165"/>
      <c r="AL102" s="165"/>
      <c r="AM102" s="165"/>
      <c r="AN102" s="43"/>
      <c r="AO102" s="43"/>
      <c r="AP102" s="43"/>
    </row>
    <row r="103" spans="1:42" ht="14.1" customHeight="1">
      <c r="A103" s="86" t="s">
        <v>136</v>
      </c>
      <c r="B103" s="13" t="str">
        <f t="shared" si="7"/>
        <v>X</v>
      </c>
      <c r="C103" s="14">
        <v>13</v>
      </c>
      <c r="D103" s="166" t="s">
        <v>137</v>
      </c>
      <c r="E103" s="164">
        <v>180</v>
      </c>
      <c r="F103" s="17">
        <v>9</v>
      </c>
      <c r="G103" s="34">
        <v>5.45</v>
      </c>
      <c r="H103" s="34" t="s">
        <v>41</v>
      </c>
      <c r="I103" s="108"/>
      <c r="J103" s="108"/>
      <c r="K103" s="108"/>
      <c r="L103" s="108">
        <v>5.45</v>
      </c>
      <c r="M103" s="108"/>
      <c r="N103" s="115"/>
      <c r="O103" s="108"/>
      <c r="P103" s="108"/>
      <c r="Q103" s="108"/>
      <c r="R103" s="108"/>
      <c r="S103" s="108"/>
      <c r="T103" s="115"/>
      <c r="U103" s="108"/>
      <c r="V103" s="108"/>
      <c r="W103" s="108"/>
      <c r="X103" s="115"/>
      <c r="Y103" s="115"/>
      <c r="Z103" s="115"/>
      <c r="AA103" s="115"/>
      <c r="AB103" s="115"/>
      <c r="AC103" s="115"/>
      <c r="AD103" s="115"/>
      <c r="AE103" s="115"/>
      <c r="AF103" s="165"/>
      <c r="AG103" s="165"/>
      <c r="AH103" s="165"/>
      <c r="AI103" s="165"/>
      <c r="AJ103" s="165"/>
      <c r="AK103" s="165"/>
      <c r="AL103" s="165"/>
      <c r="AM103" s="165"/>
      <c r="AN103" s="43"/>
      <c r="AO103" s="43"/>
      <c r="AP103" s="43"/>
    </row>
    <row r="104" spans="1:42" ht="14.1" customHeight="1">
      <c r="A104" s="86" t="s">
        <v>136</v>
      </c>
      <c r="B104" s="13" t="str">
        <f t="shared" si="7"/>
        <v>X</v>
      </c>
      <c r="C104" s="14">
        <v>13</v>
      </c>
      <c r="D104" s="167" t="s">
        <v>138</v>
      </c>
      <c r="E104" s="164">
        <v>100</v>
      </c>
      <c r="F104" s="17">
        <v>5</v>
      </c>
      <c r="G104" s="34">
        <v>3</v>
      </c>
      <c r="H104" s="34" t="s">
        <v>41</v>
      </c>
      <c r="I104" s="108"/>
      <c r="J104" s="108"/>
      <c r="K104" s="108"/>
      <c r="L104" s="108"/>
      <c r="M104" s="108"/>
      <c r="N104" s="115"/>
      <c r="O104" s="108"/>
      <c r="P104" s="108"/>
      <c r="Q104" s="108"/>
      <c r="R104" s="108"/>
      <c r="S104" s="108"/>
      <c r="T104" s="115"/>
      <c r="U104" s="108"/>
      <c r="V104" s="108"/>
      <c r="W104" s="108"/>
      <c r="X104" s="115"/>
      <c r="Y104" s="115"/>
      <c r="Z104" s="115"/>
      <c r="AA104" s="115"/>
      <c r="AB104" s="115">
        <v>3</v>
      </c>
      <c r="AC104" s="115"/>
      <c r="AD104" s="115"/>
      <c r="AE104" s="109"/>
      <c r="AF104" s="165"/>
      <c r="AG104" s="165"/>
      <c r="AH104" s="165"/>
      <c r="AI104" s="165"/>
      <c r="AJ104" s="165"/>
      <c r="AK104" s="165"/>
      <c r="AL104" s="165"/>
      <c r="AM104" s="165"/>
      <c r="AN104" s="43"/>
      <c r="AO104" s="43"/>
      <c r="AP104" s="43"/>
    </row>
    <row r="105" spans="1:42" ht="14.1" customHeight="1">
      <c r="A105" s="86" t="s">
        <v>139</v>
      </c>
      <c r="B105" s="13" t="str">
        <f t="shared" si="7"/>
        <v>X</v>
      </c>
      <c r="C105" s="14"/>
      <c r="D105" s="40" t="s">
        <v>61</v>
      </c>
      <c r="E105" s="41">
        <v>50</v>
      </c>
      <c r="F105" s="42">
        <v>1.52</v>
      </c>
      <c r="G105" s="42">
        <v>1.52</v>
      </c>
      <c r="H105" s="42" t="s">
        <v>41</v>
      </c>
      <c r="I105" s="49"/>
      <c r="J105" s="43"/>
      <c r="K105" s="43"/>
      <c r="L105" s="43">
        <v>1.52</v>
      </c>
      <c r="M105" s="44"/>
      <c r="N105" s="44"/>
      <c r="O105" s="43"/>
      <c r="P105" s="43"/>
      <c r="Q105" s="43"/>
      <c r="R105" s="43"/>
      <c r="S105" s="43"/>
      <c r="T105" s="44"/>
      <c r="U105" s="43"/>
      <c r="V105" s="43"/>
      <c r="W105" s="43"/>
      <c r="X105" s="44"/>
      <c r="Y105" s="44"/>
      <c r="Z105" s="44"/>
      <c r="AA105" s="44"/>
      <c r="AB105" s="44"/>
      <c r="AC105" s="44"/>
      <c r="AD105" s="44"/>
      <c r="AE105" s="45"/>
      <c r="AF105" s="46"/>
      <c r="AG105" s="46"/>
      <c r="AH105" s="46"/>
      <c r="AI105" s="46"/>
      <c r="AJ105" s="46"/>
      <c r="AK105" s="46"/>
      <c r="AL105" s="46"/>
      <c r="AM105" s="101"/>
      <c r="AN105" s="43"/>
      <c r="AO105" s="43"/>
      <c r="AP105" s="43"/>
    </row>
    <row r="106" spans="1:42" ht="14.1" customHeight="1">
      <c r="A106" s="86" t="s">
        <v>139</v>
      </c>
      <c r="B106" s="13" t="str">
        <f t="shared" si="7"/>
        <v>X</v>
      </c>
      <c r="C106" s="14"/>
      <c r="D106" s="40" t="s">
        <v>62</v>
      </c>
      <c r="E106" s="50"/>
      <c r="F106" s="41">
        <v>1.85</v>
      </c>
      <c r="G106" s="41">
        <v>1.85</v>
      </c>
      <c r="H106" s="41" t="s">
        <v>41</v>
      </c>
      <c r="I106" s="51"/>
      <c r="J106" s="51"/>
      <c r="K106" s="51"/>
      <c r="L106" s="43">
        <v>1.85</v>
      </c>
      <c r="M106" s="52"/>
      <c r="N106" s="52"/>
      <c r="O106" s="51"/>
      <c r="P106" s="51"/>
      <c r="Q106" s="51"/>
      <c r="R106" s="51"/>
      <c r="S106" s="51"/>
      <c r="T106" s="52"/>
      <c r="U106" s="51"/>
      <c r="V106" s="51"/>
      <c r="W106" s="51"/>
      <c r="X106" s="52"/>
      <c r="Y106" s="52"/>
      <c r="Z106" s="52"/>
      <c r="AA106" s="52"/>
      <c r="AB106" s="52"/>
      <c r="AC106" s="52"/>
      <c r="AD106" s="52"/>
      <c r="AE106" s="52"/>
      <c r="AF106" s="53"/>
      <c r="AG106" s="53"/>
      <c r="AH106" s="53"/>
      <c r="AI106" s="53"/>
      <c r="AJ106" s="53"/>
      <c r="AK106" s="53"/>
      <c r="AL106" s="53"/>
      <c r="AM106" s="55"/>
      <c r="AN106" s="43"/>
      <c r="AO106" s="43"/>
      <c r="AP106" s="43"/>
    </row>
    <row r="107" spans="1:42" ht="14.1" customHeight="1">
      <c r="A107" s="86" t="s">
        <v>139</v>
      </c>
      <c r="B107" s="13" t="str">
        <f t="shared" si="7"/>
        <v>X</v>
      </c>
      <c r="C107" s="14"/>
      <c r="D107" s="168" t="s">
        <v>62</v>
      </c>
      <c r="E107" s="50"/>
      <c r="F107" s="41">
        <v>3</v>
      </c>
      <c r="G107" s="41">
        <v>3</v>
      </c>
      <c r="H107" s="41" t="s">
        <v>41</v>
      </c>
      <c r="I107" s="51"/>
      <c r="J107" s="51"/>
      <c r="K107" s="51"/>
      <c r="L107" s="43">
        <v>3</v>
      </c>
      <c r="M107" s="52"/>
      <c r="N107" s="52"/>
      <c r="O107" s="51"/>
      <c r="P107" s="51"/>
      <c r="Q107" s="51"/>
      <c r="R107" s="51"/>
      <c r="S107" s="51"/>
      <c r="T107" s="52"/>
      <c r="U107" s="51"/>
      <c r="V107" s="51"/>
      <c r="W107" s="51"/>
      <c r="X107" s="52"/>
      <c r="Y107" s="52"/>
      <c r="Z107" s="52"/>
      <c r="AA107" s="52"/>
      <c r="AB107" s="52"/>
      <c r="AC107" s="52"/>
      <c r="AD107" s="52"/>
      <c r="AE107" s="52"/>
      <c r="AF107" s="53"/>
      <c r="AG107" s="53"/>
      <c r="AH107" s="53"/>
      <c r="AI107" s="53"/>
      <c r="AJ107" s="53"/>
      <c r="AK107" s="53"/>
      <c r="AL107" s="53"/>
      <c r="AM107" s="55"/>
      <c r="AN107" s="43"/>
      <c r="AO107" s="43"/>
      <c r="AP107" s="43"/>
    </row>
    <row r="108" spans="1:42" ht="14.1" customHeight="1">
      <c r="A108" s="86" t="s">
        <v>131</v>
      </c>
      <c r="B108" s="13" t="str">
        <f t="shared" si="7"/>
        <v>X</v>
      </c>
      <c r="C108" s="14">
        <v>14</v>
      </c>
      <c r="D108" s="169" t="s">
        <v>140</v>
      </c>
      <c r="E108" s="57">
        <v>165</v>
      </c>
      <c r="F108" s="58">
        <v>5</v>
      </c>
      <c r="G108" s="57">
        <v>5</v>
      </c>
      <c r="H108" s="57" t="s">
        <v>65</v>
      </c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35"/>
      <c r="AF108" s="125"/>
      <c r="AG108" s="125"/>
      <c r="AH108" s="59"/>
      <c r="AI108" s="59"/>
      <c r="AJ108" s="59"/>
      <c r="AK108" s="59"/>
      <c r="AL108" s="59"/>
      <c r="AM108" s="59">
        <v>5</v>
      </c>
      <c r="AN108" s="59"/>
      <c r="AO108" s="59"/>
      <c r="AP108" s="170"/>
    </row>
    <row r="109" spans="1:42" ht="14.1" customHeight="1">
      <c r="A109" s="86" t="s">
        <v>136</v>
      </c>
      <c r="B109" s="13" t="str">
        <f t="shared" si="7"/>
        <v>X</v>
      </c>
      <c r="C109" s="14">
        <v>13</v>
      </c>
      <c r="D109" s="126" t="s">
        <v>141</v>
      </c>
      <c r="E109" s="57">
        <v>140</v>
      </c>
      <c r="F109" s="58">
        <v>7</v>
      </c>
      <c r="G109" s="64">
        <v>4.24</v>
      </c>
      <c r="H109" s="64" t="s">
        <v>65</v>
      </c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37"/>
      <c r="AF109" s="65"/>
      <c r="AG109" s="65"/>
      <c r="AH109" s="65"/>
      <c r="AI109" s="65"/>
      <c r="AJ109" s="65"/>
      <c r="AK109" s="65"/>
      <c r="AL109" s="65"/>
      <c r="AM109" s="65"/>
      <c r="AN109" s="65">
        <v>4.24</v>
      </c>
      <c r="AO109" s="65"/>
      <c r="AP109" s="171"/>
    </row>
    <row r="110" spans="1:42" ht="14.1" customHeight="1">
      <c r="A110" s="86" t="s">
        <v>136</v>
      </c>
      <c r="B110" s="13" t="str">
        <f t="shared" si="7"/>
        <v>X</v>
      </c>
      <c r="C110" s="14">
        <v>13</v>
      </c>
      <c r="D110" s="172" t="s">
        <v>142</v>
      </c>
      <c r="E110" s="57">
        <v>120</v>
      </c>
      <c r="F110" s="58">
        <v>6</v>
      </c>
      <c r="G110" s="64">
        <v>3.64</v>
      </c>
      <c r="H110" s="64" t="s">
        <v>65</v>
      </c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37"/>
      <c r="AF110" s="65"/>
      <c r="AG110" s="65"/>
      <c r="AH110" s="65"/>
      <c r="AI110" s="65"/>
      <c r="AJ110" s="65"/>
      <c r="AK110" s="65"/>
      <c r="AL110" s="65"/>
      <c r="AM110" s="65"/>
      <c r="AN110" s="65">
        <v>3.64</v>
      </c>
      <c r="AO110" s="65"/>
      <c r="AP110" s="171"/>
    </row>
    <row r="111" spans="1:42" ht="15" customHeight="1">
      <c r="A111" s="178" t="s">
        <v>143</v>
      </c>
      <c r="B111" s="11"/>
      <c r="C111" s="207"/>
      <c r="D111" s="179"/>
      <c r="E111" s="179"/>
      <c r="F111" s="179"/>
      <c r="G111" s="180"/>
      <c r="H111" s="179"/>
      <c r="I111" s="179"/>
      <c r="J111" s="179"/>
      <c r="K111" s="179"/>
      <c r="L111" s="179"/>
      <c r="M111" s="179"/>
      <c r="N111" s="179"/>
      <c r="O111" s="179"/>
      <c r="P111" s="179"/>
      <c r="Q111" s="179"/>
      <c r="R111" s="179"/>
      <c r="S111" s="179"/>
      <c r="T111" s="179"/>
      <c r="U111" s="179"/>
      <c r="V111" s="179"/>
      <c r="W111" s="179"/>
      <c r="X111" s="179"/>
      <c r="Y111" s="179"/>
      <c r="Z111" s="179"/>
      <c r="AA111" s="179"/>
      <c r="AB111" s="179"/>
      <c r="AC111" s="179"/>
      <c r="AD111" s="179"/>
      <c r="AE111" s="179"/>
      <c r="AF111" s="179"/>
      <c r="AG111" s="179"/>
      <c r="AH111" s="179"/>
      <c r="AI111" s="179"/>
      <c r="AJ111" s="179"/>
      <c r="AK111" s="179"/>
      <c r="AL111" s="179"/>
      <c r="AM111" s="179"/>
      <c r="AN111" s="179"/>
      <c r="AO111" s="180"/>
      <c r="AP111" s="173"/>
    </row>
    <row r="112" spans="1:42" ht="12.75" customHeight="1">
      <c r="A112" s="181" t="s">
        <v>144</v>
      </c>
      <c r="B112" s="13" t="str">
        <f t="shared" ref="B112:B122" si="8">IF(SUM(I112:AP112)=G112,"X","")</f>
        <v>X</v>
      </c>
      <c r="C112" s="14">
        <v>109</v>
      </c>
      <c r="D112" s="182" t="s">
        <v>145</v>
      </c>
      <c r="E112" s="16"/>
      <c r="F112" s="183">
        <v>6</v>
      </c>
      <c r="G112" s="183">
        <v>6</v>
      </c>
      <c r="H112" s="184" t="s">
        <v>65</v>
      </c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65"/>
      <c r="U112" s="174"/>
      <c r="V112" s="174"/>
      <c r="W112" s="174"/>
      <c r="X112" s="165"/>
      <c r="Y112" s="165"/>
      <c r="Z112" s="165"/>
      <c r="AA112" s="165"/>
      <c r="AB112" s="165"/>
      <c r="AC112" s="165"/>
      <c r="AD112" s="165"/>
      <c r="AE112" s="185"/>
      <c r="AF112" s="165">
        <v>6</v>
      </c>
      <c r="AG112" s="165"/>
      <c r="AH112" s="165"/>
      <c r="AI112" s="165"/>
      <c r="AJ112" s="165"/>
      <c r="AK112" s="165"/>
      <c r="AL112" s="165"/>
      <c r="AM112" s="165"/>
      <c r="AN112" s="165"/>
      <c r="AO112" s="165"/>
      <c r="AP112" s="165"/>
    </row>
    <row r="113" spans="1:42" ht="12.75" customHeight="1">
      <c r="A113" s="181" t="s">
        <v>144</v>
      </c>
      <c r="B113" s="13" t="str">
        <f t="shared" si="8"/>
        <v>X</v>
      </c>
      <c r="C113" s="14">
        <v>109</v>
      </c>
      <c r="D113" s="182" t="s">
        <v>146</v>
      </c>
      <c r="E113" s="16"/>
      <c r="F113" s="183">
        <v>6</v>
      </c>
      <c r="G113" s="183">
        <v>6</v>
      </c>
      <c r="H113" s="184" t="s">
        <v>63</v>
      </c>
      <c r="I113" s="174"/>
      <c r="J113" s="174"/>
      <c r="K113" s="174"/>
      <c r="L113" s="174"/>
      <c r="M113" s="174"/>
      <c r="N113" s="174"/>
      <c r="O113" s="174"/>
      <c r="P113" s="174"/>
      <c r="Q113" s="174"/>
      <c r="R113" s="174"/>
      <c r="S113" s="174"/>
      <c r="T113" s="165"/>
      <c r="U113" s="174"/>
      <c r="V113" s="174"/>
      <c r="W113" s="174"/>
      <c r="X113" s="165"/>
      <c r="Y113" s="165"/>
      <c r="Z113" s="165"/>
      <c r="AA113" s="165"/>
      <c r="AB113" s="165"/>
      <c r="AC113" s="165"/>
      <c r="AD113" s="165"/>
      <c r="AE113" s="185"/>
      <c r="AF113" s="165"/>
      <c r="AG113" s="165"/>
      <c r="AH113" s="165"/>
      <c r="AI113" s="165"/>
      <c r="AJ113" s="165">
        <v>6</v>
      </c>
      <c r="AK113" s="165"/>
      <c r="AL113" s="165"/>
      <c r="AM113" s="165"/>
      <c r="AN113" s="165"/>
      <c r="AO113" s="165"/>
      <c r="AP113" s="165"/>
    </row>
    <row r="114" spans="1:42" ht="12.75" customHeight="1">
      <c r="A114" s="181" t="s">
        <v>144</v>
      </c>
      <c r="B114" s="13" t="str">
        <f t="shared" si="8"/>
        <v>X</v>
      </c>
      <c r="C114" s="14">
        <v>7</v>
      </c>
      <c r="D114" s="182" t="s">
        <v>147</v>
      </c>
      <c r="E114" s="36"/>
      <c r="F114" s="183">
        <v>2</v>
      </c>
      <c r="G114" s="183">
        <v>2</v>
      </c>
      <c r="H114" s="184" t="s">
        <v>41</v>
      </c>
      <c r="I114" s="174"/>
      <c r="J114" s="174"/>
      <c r="K114" s="174"/>
      <c r="L114" s="174"/>
      <c r="M114" s="174"/>
      <c r="N114" s="174"/>
      <c r="O114" s="174"/>
      <c r="P114" s="174"/>
      <c r="Q114" s="174"/>
      <c r="R114" s="174">
        <v>2</v>
      </c>
      <c r="S114" s="174"/>
      <c r="T114" s="165"/>
      <c r="U114" s="174"/>
      <c r="V114" s="174"/>
      <c r="W114" s="174"/>
      <c r="X114" s="165"/>
      <c r="Y114" s="165"/>
      <c r="Z114" s="165"/>
      <c r="AA114" s="165"/>
      <c r="AB114" s="165"/>
      <c r="AC114" s="165"/>
      <c r="AD114" s="165"/>
      <c r="AE114" s="165"/>
      <c r="AF114" s="165"/>
      <c r="AG114" s="165"/>
      <c r="AH114" s="165"/>
      <c r="AI114" s="165"/>
      <c r="AJ114" s="165"/>
      <c r="AK114" s="165"/>
      <c r="AL114" s="165"/>
      <c r="AM114" s="165"/>
      <c r="AN114" s="165"/>
      <c r="AO114" s="165"/>
      <c r="AP114" s="165"/>
    </row>
    <row r="115" spans="1:42" ht="12.75" customHeight="1">
      <c r="A115" s="181" t="s">
        <v>144</v>
      </c>
      <c r="B115" s="13" t="str">
        <f t="shared" si="8"/>
        <v>X</v>
      </c>
      <c r="C115" s="203" t="s">
        <v>102</v>
      </c>
      <c r="D115" s="182" t="s">
        <v>148</v>
      </c>
      <c r="E115" s="16"/>
      <c r="F115" s="183">
        <v>2</v>
      </c>
      <c r="G115" s="183">
        <v>2</v>
      </c>
      <c r="H115" s="184" t="s">
        <v>47</v>
      </c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>
        <v>2</v>
      </c>
      <c r="X115" s="175"/>
      <c r="Y115" s="175"/>
      <c r="Z115" s="175"/>
      <c r="AA115" s="175"/>
      <c r="AB115" s="175"/>
      <c r="AC115" s="175"/>
      <c r="AD115" s="175"/>
      <c r="AE115" s="18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</row>
    <row r="116" spans="1:42" ht="12.75" customHeight="1">
      <c r="A116" s="181" t="s">
        <v>144</v>
      </c>
      <c r="B116" s="13" t="str">
        <f t="shared" si="8"/>
        <v>X</v>
      </c>
      <c r="C116" s="14">
        <v>10</v>
      </c>
      <c r="D116" s="182" t="s">
        <v>149</v>
      </c>
      <c r="E116" s="16"/>
      <c r="F116" s="183">
        <v>6</v>
      </c>
      <c r="G116" s="183">
        <v>6</v>
      </c>
      <c r="H116" s="184" t="s">
        <v>41</v>
      </c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>
        <v>6</v>
      </c>
      <c r="AD116" s="175"/>
      <c r="AE116" s="37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</row>
    <row r="117" spans="1:42" ht="12.75" customHeight="1">
      <c r="A117" s="181" t="s">
        <v>144</v>
      </c>
      <c r="B117" s="13" t="str">
        <f t="shared" si="8"/>
        <v>X</v>
      </c>
      <c r="C117" s="208"/>
      <c r="D117" s="187" t="s">
        <v>150</v>
      </c>
      <c r="E117" s="16"/>
      <c r="F117" s="183">
        <v>0</v>
      </c>
      <c r="G117" s="183">
        <v>0</v>
      </c>
      <c r="H117" s="184" t="s">
        <v>65</v>
      </c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37"/>
      <c r="AF117" s="165"/>
      <c r="AG117" s="165"/>
      <c r="AH117" s="165"/>
      <c r="AI117" s="165"/>
      <c r="AJ117" s="165"/>
      <c r="AK117" s="165"/>
      <c r="AL117" s="165"/>
      <c r="AM117" s="165"/>
      <c r="AN117" s="165"/>
      <c r="AO117" s="174"/>
      <c r="AP117" s="176"/>
    </row>
    <row r="118" spans="1:42" ht="12.75" customHeight="1">
      <c r="A118" s="181" t="s">
        <v>144</v>
      </c>
      <c r="B118" s="13" t="str">
        <f t="shared" si="8"/>
        <v>X</v>
      </c>
      <c r="C118" s="208">
        <v>3</v>
      </c>
      <c r="D118" s="182" t="s">
        <v>151</v>
      </c>
      <c r="E118" s="16"/>
      <c r="F118" s="183">
        <v>3</v>
      </c>
      <c r="G118" s="183">
        <v>3</v>
      </c>
      <c r="H118" s="184" t="s">
        <v>41</v>
      </c>
      <c r="I118" s="175"/>
      <c r="J118" s="175"/>
      <c r="K118" s="175">
        <v>3</v>
      </c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86"/>
      <c r="AF118" s="165"/>
      <c r="AG118" s="165"/>
      <c r="AH118" s="165"/>
      <c r="AI118" s="165"/>
      <c r="AJ118" s="165"/>
      <c r="AK118" s="165"/>
      <c r="AL118" s="165"/>
      <c r="AM118" s="165"/>
      <c r="AN118" s="165"/>
      <c r="AO118" s="174"/>
      <c r="AP118" s="176"/>
    </row>
    <row r="119" spans="1:42" ht="12.75" customHeight="1">
      <c r="A119" s="181" t="s">
        <v>144</v>
      </c>
      <c r="B119" s="13" t="str">
        <f t="shared" si="8"/>
        <v>X</v>
      </c>
      <c r="C119" s="208">
        <v>3</v>
      </c>
      <c r="D119" s="182" t="s">
        <v>152</v>
      </c>
      <c r="E119" s="16"/>
      <c r="F119" s="183">
        <v>3</v>
      </c>
      <c r="G119" s="183">
        <v>3</v>
      </c>
      <c r="H119" s="188" t="s">
        <v>65</v>
      </c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86"/>
      <c r="AF119" s="165"/>
      <c r="AG119" s="165"/>
      <c r="AH119" s="165"/>
      <c r="AI119" s="165"/>
      <c r="AJ119" s="165"/>
      <c r="AK119" s="165"/>
      <c r="AL119" s="165"/>
      <c r="AM119" s="165">
        <v>3</v>
      </c>
      <c r="AN119" s="165"/>
      <c r="AO119" s="165"/>
      <c r="AP119" s="165"/>
    </row>
    <row r="120" spans="1:42" ht="12.75" customHeight="1">
      <c r="A120" s="181" t="s">
        <v>144</v>
      </c>
      <c r="B120" s="13" t="str">
        <f t="shared" si="8"/>
        <v>X</v>
      </c>
      <c r="C120" s="208"/>
      <c r="D120" s="187" t="s">
        <v>153</v>
      </c>
      <c r="E120" s="16"/>
      <c r="F120" s="183">
        <v>0</v>
      </c>
      <c r="G120" s="183">
        <v>0</v>
      </c>
      <c r="H120" s="184" t="s">
        <v>65</v>
      </c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86"/>
      <c r="AF120" s="165"/>
      <c r="AG120" s="165"/>
      <c r="AH120" s="165"/>
      <c r="AI120" s="165"/>
      <c r="AJ120" s="165"/>
      <c r="AK120" s="165"/>
      <c r="AL120" s="165"/>
      <c r="AM120" s="165"/>
      <c r="AN120" s="165"/>
      <c r="AO120" s="165"/>
      <c r="AP120" s="165"/>
    </row>
    <row r="121" spans="1:42" ht="12.75" customHeight="1">
      <c r="A121" s="181" t="s">
        <v>144</v>
      </c>
      <c r="B121" s="13" t="str">
        <f t="shared" si="8"/>
        <v>X</v>
      </c>
      <c r="C121" s="208">
        <v>10</v>
      </c>
      <c r="D121" s="182" t="s">
        <v>154</v>
      </c>
      <c r="E121" s="16"/>
      <c r="F121" s="183">
        <v>6</v>
      </c>
      <c r="G121" s="183">
        <v>6</v>
      </c>
      <c r="H121" s="184" t="s">
        <v>41</v>
      </c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>
        <v>6</v>
      </c>
      <c r="Z121" s="175"/>
      <c r="AA121" s="175"/>
      <c r="AB121" s="175"/>
      <c r="AC121" s="175"/>
      <c r="AD121" s="175"/>
      <c r="AE121" s="186"/>
      <c r="AF121" s="165"/>
      <c r="AG121" s="165"/>
      <c r="AH121" s="165"/>
      <c r="AI121" s="165"/>
      <c r="AJ121" s="165"/>
      <c r="AK121" s="165"/>
      <c r="AL121" s="165"/>
      <c r="AM121" s="165"/>
      <c r="AN121" s="165"/>
      <c r="AO121" s="165"/>
      <c r="AP121" s="165"/>
    </row>
    <row r="122" spans="1:42" ht="12.75" customHeight="1">
      <c r="A122" s="181" t="s">
        <v>144</v>
      </c>
      <c r="B122" s="13" t="str">
        <f t="shared" si="8"/>
        <v>X</v>
      </c>
      <c r="C122" s="208">
        <v>10</v>
      </c>
      <c r="D122" s="182" t="s">
        <v>155</v>
      </c>
      <c r="E122" s="16"/>
      <c r="F122" s="183">
        <v>2</v>
      </c>
      <c r="G122" s="183">
        <v>2</v>
      </c>
      <c r="H122" s="188" t="s">
        <v>41</v>
      </c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>
        <v>2</v>
      </c>
      <c r="Z122" s="175"/>
      <c r="AA122" s="175"/>
      <c r="AB122" s="175"/>
      <c r="AC122" s="175"/>
      <c r="AD122" s="175"/>
      <c r="AE122" s="186"/>
      <c r="AF122" s="165"/>
      <c r="AG122" s="165"/>
      <c r="AH122" s="165"/>
      <c r="AI122" s="165"/>
      <c r="AJ122" s="165"/>
      <c r="AK122" s="165"/>
      <c r="AL122" s="165"/>
      <c r="AM122" s="165"/>
      <c r="AN122" s="165"/>
      <c r="AO122" s="165"/>
      <c r="AP122" s="165"/>
    </row>
    <row r="123" spans="1:42" ht="12.75" customHeight="1">
      <c r="A123" s="189" t="s">
        <v>156</v>
      </c>
      <c r="B123" s="189"/>
      <c r="C123" s="209"/>
      <c r="D123" s="189"/>
      <c r="E123" s="189"/>
      <c r="F123" s="189"/>
      <c r="G123" s="189"/>
      <c r="H123" s="189"/>
      <c r="I123" s="189"/>
      <c r="J123" s="189"/>
      <c r="K123" s="189"/>
      <c r="L123" s="189"/>
      <c r="M123" s="189"/>
      <c r="N123" s="189"/>
      <c r="O123" s="189"/>
      <c r="P123" s="189"/>
      <c r="Q123" s="189"/>
      <c r="R123" s="189"/>
      <c r="S123" s="189"/>
      <c r="T123" s="189"/>
      <c r="U123" s="189"/>
      <c r="V123" s="189"/>
      <c r="W123" s="189"/>
      <c r="X123" s="189"/>
      <c r="Y123" s="189"/>
      <c r="Z123" s="189"/>
      <c r="AA123" s="189"/>
      <c r="AB123" s="189"/>
      <c r="AC123" s="189"/>
      <c r="AD123" s="189"/>
      <c r="AE123" s="190"/>
      <c r="AF123" s="189"/>
      <c r="AG123" s="189"/>
      <c r="AH123" s="189"/>
      <c r="AI123" s="189"/>
      <c r="AJ123" s="189"/>
      <c r="AK123" s="189"/>
      <c r="AL123" s="189"/>
      <c r="AM123" s="189"/>
      <c r="AN123" s="189"/>
      <c r="AO123" s="189"/>
      <c r="AP123" s="189"/>
    </row>
    <row r="124" spans="1:42" ht="12.75" customHeight="1">
      <c r="A124" s="181" t="s">
        <v>157</v>
      </c>
      <c r="B124" s="191" t="str">
        <f>IF(SUM(I124:AP124)=G124,"X","")</f>
        <v>X</v>
      </c>
      <c r="C124" s="14">
        <v>3</v>
      </c>
      <c r="D124" s="192" t="s">
        <v>158</v>
      </c>
      <c r="E124" s="193">
        <v>75</v>
      </c>
      <c r="F124" s="194">
        <f>TRUNC(75/33,2)</f>
        <v>2.27</v>
      </c>
      <c r="G124" s="194">
        <f>TRUNC(75/33,2)</f>
        <v>2.27</v>
      </c>
      <c r="H124" s="195" t="s">
        <v>41</v>
      </c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>
        <v>2.27</v>
      </c>
      <c r="AA124" s="175"/>
      <c r="AB124" s="175"/>
      <c r="AC124" s="175"/>
      <c r="AD124" s="175"/>
      <c r="AE124" s="186"/>
      <c r="AF124" s="165"/>
      <c r="AG124" s="165"/>
      <c r="AH124" s="165"/>
      <c r="AI124" s="165"/>
      <c r="AJ124" s="165"/>
      <c r="AK124" s="165"/>
      <c r="AL124" s="165"/>
      <c r="AM124" s="165"/>
      <c r="AN124" s="165"/>
      <c r="AO124" s="165"/>
      <c r="AP124" s="177"/>
    </row>
    <row r="125" spans="1:42" ht="13.5" customHeight="1">
      <c r="A125" s="181" t="s">
        <v>159</v>
      </c>
      <c r="B125" s="191" t="str">
        <f>IF(SUM(I125:AP125)=G125,"X","")</f>
        <v>X</v>
      </c>
      <c r="C125" s="120">
        <v>3</v>
      </c>
      <c r="D125" s="196" t="s">
        <v>160</v>
      </c>
      <c r="E125" s="193">
        <v>75</v>
      </c>
      <c r="F125" s="194">
        <f>TRUNC(75/33,2)</f>
        <v>2.27</v>
      </c>
      <c r="G125" s="194">
        <f>TRUNC(75/33,2)</f>
        <v>2.27</v>
      </c>
      <c r="H125" s="195" t="s">
        <v>41</v>
      </c>
      <c r="I125" s="175"/>
      <c r="J125" s="175"/>
      <c r="K125" s="175">
        <v>2.27</v>
      </c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86"/>
      <c r="AF125" s="165"/>
      <c r="AG125" s="165"/>
      <c r="AH125" s="165"/>
      <c r="AI125" s="165"/>
      <c r="AJ125" s="165"/>
      <c r="AK125" s="165"/>
      <c r="AL125" s="165"/>
      <c r="AM125" s="165"/>
      <c r="AN125" s="165"/>
      <c r="AO125" s="165"/>
      <c r="AP125" s="177"/>
    </row>
  </sheetData>
  <mergeCells count="1">
    <mergeCell ref="A1:AO1"/>
  </mergeCells>
  <conditionalFormatting sqref="U111">
    <cfRule type="cellIs" dxfId="0" priority="1" operator="notEqual">
      <formula>0</formula>
    </cfRule>
  </conditionalFormatting>
  <pageMargins left="0.51180555555555496" right="0.23611111111111099" top="0.35416666666666702" bottom="0.43333333333333302" header="0.51180555555555496" footer="0.51180555555555496"/>
  <pageSetup paperSize="9" firstPageNumber="0" pageOrder="overThenDown" orientation="portrait" horizontalDpi="300" verticalDpi="300" r:id="rId1"/>
  <rowBreaks count="1" manualBreakCount="1">
    <brk id="110" max="16383" man="1"/>
  </rowBreaks>
  <colBreaks count="1" manualBreakCount="1">
    <brk id="3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20_21_Plazas</vt:lpstr>
      <vt:lpstr>'20_21_Plazas'!Área_de_impresión</vt:lpstr>
      <vt:lpstr>'20_21_Plazas'!Asador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Gonzalez</dc:creator>
  <cp:lastModifiedBy>in2dam</cp:lastModifiedBy>
  <dcterms:created xsi:type="dcterms:W3CDTF">2020-10-09T06:44:29Z</dcterms:created>
  <dcterms:modified xsi:type="dcterms:W3CDTF">2021-10-15T10:03:01Z</dcterms:modified>
</cp:coreProperties>
</file>